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aboeuf\Desktop\Codes\koliop-gpu-porting\koliop\tests\dummy\"/>
    </mc:Choice>
  </mc:AlternateContent>
  <bookViews>
    <workbookView xWindow="0" yWindow="0" windowWidth="25200" windowHeight="12000" tabRatio="493"/>
  </bookViews>
  <sheets>
    <sheet name="Graph" sheetId="2" r:id="rId1"/>
    <sheet name="Process kernel profile data" sheetId="4" r:id="rId2"/>
    <sheet name="Kernel profile B64" sheetId="3" r:id="rId3"/>
    <sheet name="Kernel profile B32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2" l="1"/>
  <c r="B58" i="2"/>
  <c r="A58" i="2"/>
  <c r="A59" i="2" s="1"/>
  <c r="E13" i="2"/>
  <c r="E58" i="2" s="1"/>
  <c r="E14" i="2"/>
  <c r="E59" i="2" s="1"/>
  <c r="D14" i="2"/>
  <c r="D59" i="2" s="1"/>
  <c r="D13" i="2"/>
  <c r="D58" i="2" s="1"/>
  <c r="D10" i="2"/>
  <c r="E10" i="2"/>
  <c r="C9" i="2"/>
  <c r="C10" i="2" s="1"/>
  <c r="D9" i="2"/>
  <c r="E9" i="2"/>
  <c r="B9" i="2"/>
  <c r="AC10" i="3"/>
  <c r="W10" i="3"/>
  <c r="A60" i="2" l="1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H10" i="4"/>
  <c r="H11" i="4"/>
  <c r="H12" i="4"/>
  <c r="L12" i="4" s="1"/>
  <c r="M12" i="4" s="1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L28" i="4" s="1"/>
  <c r="M28" i="4" s="1"/>
  <c r="H29" i="4"/>
  <c r="H30" i="4"/>
  <c r="H31" i="4"/>
  <c r="H32" i="4"/>
  <c r="H33" i="4"/>
  <c r="H34" i="4"/>
  <c r="H35" i="4"/>
  <c r="L35" i="4" s="1"/>
  <c r="M35" i="4" s="1"/>
  <c r="H3" i="4"/>
  <c r="A13" i="2"/>
  <c r="J3" i="4"/>
  <c r="J4" i="4"/>
  <c r="J5" i="4"/>
  <c r="J6" i="4"/>
  <c r="J7" i="4"/>
  <c r="J8" i="4"/>
  <c r="J9" i="4"/>
  <c r="I3" i="4"/>
  <c r="I4" i="4"/>
  <c r="I5" i="4"/>
  <c r="I6" i="4"/>
  <c r="I7" i="4"/>
  <c r="I8" i="4"/>
  <c r="I9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3" i="4"/>
  <c r="H4" i="4"/>
  <c r="H5" i="4"/>
  <c r="H6" i="4"/>
  <c r="H7" i="4"/>
  <c r="H8" i="4"/>
  <c r="H9" i="4"/>
  <c r="B4" i="4"/>
  <c r="E4" i="4" s="1"/>
  <c r="B5" i="4"/>
  <c r="E5" i="4" s="1"/>
  <c r="B6" i="4"/>
  <c r="E6" i="4" s="1"/>
  <c r="B7" i="4"/>
  <c r="E7" i="4" s="1"/>
  <c r="B8" i="4"/>
  <c r="E8" i="4" s="1"/>
  <c r="B9" i="4"/>
  <c r="E9" i="4" s="1"/>
  <c r="B10" i="4"/>
  <c r="E10" i="4" s="1"/>
  <c r="B11" i="4"/>
  <c r="E11" i="4" s="1"/>
  <c r="B12" i="4"/>
  <c r="E12" i="4" s="1"/>
  <c r="B13" i="4"/>
  <c r="E13" i="4" s="1"/>
  <c r="B14" i="4"/>
  <c r="B15" i="4"/>
  <c r="B16" i="4"/>
  <c r="E16" i="4" s="1"/>
  <c r="B17" i="4"/>
  <c r="F17" i="4" s="1"/>
  <c r="G17" i="4" s="1"/>
  <c r="B18" i="4"/>
  <c r="E18" i="4" s="1"/>
  <c r="B19" i="4"/>
  <c r="E19" i="4" s="1"/>
  <c r="B20" i="4"/>
  <c r="E20" i="4" s="1"/>
  <c r="B21" i="4"/>
  <c r="E21" i="4" s="1"/>
  <c r="B22" i="4"/>
  <c r="E22" i="4" s="1"/>
  <c r="B23" i="4"/>
  <c r="E23" i="4" s="1"/>
  <c r="B24" i="4"/>
  <c r="E24" i="4" s="1"/>
  <c r="B25" i="4"/>
  <c r="E25" i="4" s="1"/>
  <c r="B26" i="4"/>
  <c r="E26" i="4" s="1"/>
  <c r="B27" i="4"/>
  <c r="E27" i="4" s="1"/>
  <c r="B28" i="4"/>
  <c r="E28" i="4" s="1"/>
  <c r="B29" i="4"/>
  <c r="E29" i="4" s="1"/>
  <c r="B30" i="4"/>
  <c r="E30" i="4" s="1"/>
  <c r="B31" i="4"/>
  <c r="E31" i="4" s="1"/>
  <c r="B32" i="4"/>
  <c r="E32" i="4" s="1"/>
  <c r="B33" i="4"/>
  <c r="E33" i="4" s="1"/>
  <c r="B34" i="4"/>
  <c r="E34" i="4" s="1"/>
  <c r="B35" i="4"/>
  <c r="E35" i="4" s="1"/>
  <c r="B3" i="4"/>
  <c r="B10" i="2"/>
  <c r="A61" i="2" l="1"/>
  <c r="F26" i="4"/>
  <c r="G26" i="4" s="1"/>
  <c r="F18" i="4"/>
  <c r="G18" i="4" s="1"/>
  <c r="B13" i="2"/>
  <c r="F28" i="4"/>
  <c r="G28" i="4" s="1"/>
  <c r="C13" i="2"/>
  <c r="C58" i="2" s="1"/>
  <c r="E17" i="4"/>
  <c r="F25" i="4"/>
  <c r="G25" i="4" s="1"/>
  <c r="F30" i="4"/>
  <c r="G30" i="4" s="1"/>
  <c r="F21" i="4"/>
  <c r="G21" i="4" s="1"/>
  <c r="E3" i="4"/>
  <c r="L19" i="4"/>
  <c r="M19" i="4" s="1"/>
  <c r="L34" i="4"/>
  <c r="M34" i="4" s="1"/>
  <c r="K32" i="4"/>
  <c r="L32" i="4"/>
  <c r="M32" i="4" s="1"/>
  <c r="L29" i="4"/>
  <c r="M29" i="4" s="1"/>
  <c r="L30" i="4"/>
  <c r="M30" i="4" s="1"/>
  <c r="L21" i="4"/>
  <c r="M21" i="4" s="1"/>
  <c r="K24" i="4"/>
  <c r="L20" i="4"/>
  <c r="M20" i="4" s="1"/>
  <c r="L27" i="4"/>
  <c r="M27" i="4" s="1"/>
  <c r="L26" i="4"/>
  <c r="M26" i="4" s="1"/>
  <c r="K28" i="4"/>
  <c r="L18" i="4"/>
  <c r="M18" i="4" s="1"/>
  <c r="K16" i="4"/>
  <c r="L22" i="4"/>
  <c r="M22" i="4" s="1"/>
  <c r="L24" i="4"/>
  <c r="M24" i="4" s="1"/>
  <c r="L16" i="4"/>
  <c r="M16" i="4" s="1"/>
  <c r="L11" i="4"/>
  <c r="M11" i="4" s="1"/>
  <c r="L14" i="4"/>
  <c r="M14" i="4" s="1"/>
  <c r="L13" i="4"/>
  <c r="M13" i="4" s="1"/>
  <c r="L31" i="4"/>
  <c r="M31" i="4" s="1"/>
  <c r="L23" i="4"/>
  <c r="M23" i="4" s="1"/>
  <c r="L15" i="4"/>
  <c r="M15" i="4" s="1"/>
  <c r="K20" i="4"/>
  <c r="K12" i="4"/>
  <c r="K33" i="4"/>
  <c r="K25" i="4"/>
  <c r="K17" i="4"/>
  <c r="K29" i="4"/>
  <c r="K21" i="4"/>
  <c r="K13" i="4"/>
  <c r="L33" i="4"/>
  <c r="M33" i="4" s="1"/>
  <c r="L25" i="4"/>
  <c r="M25" i="4" s="1"/>
  <c r="L17" i="4"/>
  <c r="M17" i="4" s="1"/>
  <c r="K31" i="4"/>
  <c r="K23" i="4"/>
  <c r="K15" i="4"/>
  <c r="K30" i="4"/>
  <c r="K22" i="4"/>
  <c r="K14" i="4"/>
  <c r="K35" i="4"/>
  <c r="K27" i="4"/>
  <c r="K19" i="4"/>
  <c r="K11" i="4"/>
  <c r="K34" i="4"/>
  <c r="K26" i="4"/>
  <c r="K18" i="4"/>
  <c r="K6" i="4"/>
  <c r="L5" i="4"/>
  <c r="M5" i="4" s="1"/>
  <c r="K7" i="4"/>
  <c r="F8" i="4"/>
  <c r="G8" i="4" s="1"/>
  <c r="F15" i="4"/>
  <c r="G15" i="4" s="1"/>
  <c r="E15" i="4"/>
  <c r="F14" i="4"/>
  <c r="G14" i="4" s="1"/>
  <c r="E14" i="4"/>
  <c r="L10" i="4"/>
  <c r="M10" i="4" s="1"/>
  <c r="K10" i="4"/>
  <c r="K4" i="4"/>
  <c r="K9" i="4"/>
  <c r="K3" i="4"/>
  <c r="K8" i="4"/>
  <c r="L7" i="4"/>
  <c r="M7" i="4" s="1"/>
  <c r="L9" i="4"/>
  <c r="M9" i="4" s="1"/>
  <c r="K5" i="4"/>
  <c r="L8" i="4"/>
  <c r="M8" i="4" s="1"/>
  <c r="L6" i="4"/>
  <c r="M6" i="4" s="1"/>
  <c r="L4" i="4"/>
  <c r="M4" i="4" s="1"/>
  <c r="L3" i="4"/>
  <c r="M3" i="4" s="1"/>
  <c r="F31" i="4"/>
  <c r="G31" i="4" s="1"/>
  <c r="F19" i="4"/>
  <c r="G19" i="4" s="1"/>
  <c r="F27" i="4"/>
  <c r="G27" i="4" s="1"/>
  <c r="F35" i="4"/>
  <c r="G35" i="4" s="1"/>
  <c r="F11" i="4"/>
  <c r="G11" i="4" s="1"/>
  <c r="F29" i="4"/>
  <c r="G29" i="4" s="1"/>
  <c r="F20" i="4"/>
  <c r="G20" i="4" s="1"/>
  <c r="F10" i="4"/>
  <c r="G10" i="4" s="1"/>
  <c r="F4" i="4"/>
  <c r="G4" i="4" s="1"/>
  <c r="F34" i="4"/>
  <c r="G34" i="4" s="1"/>
  <c r="F33" i="4"/>
  <c r="G33" i="4" s="1"/>
  <c r="F23" i="4"/>
  <c r="G23" i="4" s="1"/>
  <c r="F13" i="4"/>
  <c r="G13" i="4" s="1"/>
  <c r="F32" i="4"/>
  <c r="G32" i="4" s="1"/>
  <c r="F24" i="4"/>
  <c r="G24" i="4" s="1"/>
  <c r="F16" i="4"/>
  <c r="G16" i="4" s="1"/>
  <c r="F22" i="4"/>
  <c r="G22" i="4" s="1"/>
  <c r="F12" i="4"/>
  <c r="G12" i="4" s="1"/>
  <c r="F9" i="4"/>
  <c r="G9" i="4" s="1"/>
  <c r="A14" i="2"/>
  <c r="A15" i="2" s="1"/>
  <c r="F6" i="4"/>
  <c r="G6" i="4" s="1"/>
  <c r="F7" i="4"/>
  <c r="G7" i="4" s="1"/>
  <c r="F3" i="4"/>
  <c r="G3" i="4" s="1"/>
  <c r="F5" i="4"/>
  <c r="G5" i="4" s="1"/>
  <c r="E15" i="2" l="1"/>
  <c r="E60" i="2" s="1"/>
  <c r="D15" i="2"/>
  <c r="D60" i="2" s="1"/>
  <c r="A62" i="2"/>
  <c r="B15" i="2"/>
  <c r="B60" i="2" s="1"/>
  <c r="C15" i="2"/>
  <c r="C60" i="2" s="1"/>
  <c r="C14" i="2"/>
  <c r="C59" i="2" s="1"/>
  <c r="B14" i="2"/>
  <c r="A16" i="2"/>
  <c r="E16" i="2" l="1"/>
  <c r="E61" i="2" s="1"/>
  <c r="D16" i="2"/>
  <c r="D61" i="2" s="1"/>
  <c r="A63" i="2"/>
  <c r="B16" i="2"/>
  <c r="B61" i="2" s="1"/>
  <c r="C16" i="2"/>
  <c r="C61" i="2" s="1"/>
  <c r="A17" i="2"/>
  <c r="E17" i="2" l="1"/>
  <c r="E62" i="2" s="1"/>
  <c r="D17" i="2"/>
  <c r="D62" i="2" s="1"/>
  <c r="A64" i="2"/>
  <c r="C17" i="2"/>
  <c r="C62" i="2" s="1"/>
  <c r="B17" i="2"/>
  <c r="B62" i="2" s="1"/>
  <c r="A18" i="2"/>
  <c r="D18" i="2" l="1"/>
  <c r="D63" i="2" s="1"/>
  <c r="E18" i="2"/>
  <c r="E63" i="2" s="1"/>
  <c r="A65" i="2"/>
  <c r="C18" i="2"/>
  <c r="C63" i="2" s="1"/>
  <c r="B18" i="2"/>
  <c r="B63" i="2" s="1"/>
  <c r="A19" i="2"/>
  <c r="A20" i="2" l="1"/>
  <c r="D19" i="2"/>
  <c r="D64" i="2" s="1"/>
  <c r="E19" i="2"/>
  <c r="E64" i="2" s="1"/>
  <c r="A66" i="2"/>
  <c r="B19" i="2"/>
  <c r="B64" i="2" s="1"/>
  <c r="C19" i="2"/>
  <c r="C64" i="2" s="1"/>
  <c r="E20" i="2" l="1"/>
  <c r="E65" i="2" s="1"/>
  <c r="D20" i="2"/>
  <c r="D65" i="2" s="1"/>
  <c r="C20" i="2"/>
  <c r="C65" i="2" s="1"/>
  <c r="A21" i="2"/>
  <c r="B20" i="2"/>
  <c r="B65" i="2" s="1"/>
  <c r="A67" i="2"/>
  <c r="B21" i="2"/>
  <c r="B66" i="2" s="1"/>
  <c r="C21" i="2"/>
  <c r="C66" i="2" s="1"/>
  <c r="A22" i="2"/>
  <c r="E22" i="2" l="1"/>
  <c r="E67" i="2" s="1"/>
  <c r="D22" i="2"/>
  <c r="D67" i="2" s="1"/>
  <c r="E21" i="2"/>
  <c r="E66" i="2" s="1"/>
  <c r="D21" i="2"/>
  <c r="D66" i="2" s="1"/>
  <c r="A68" i="2"/>
  <c r="B22" i="2"/>
  <c r="B67" i="2" s="1"/>
  <c r="C22" i="2"/>
  <c r="C67" i="2" s="1"/>
  <c r="A23" i="2"/>
  <c r="E23" i="2" l="1"/>
  <c r="E68" i="2" s="1"/>
  <c r="D23" i="2"/>
  <c r="D68" i="2" s="1"/>
  <c r="A69" i="2"/>
  <c r="B23" i="2"/>
  <c r="B68" i="2" s="1"/>
  <c r="C23" i="2"/>
  <c r="C68" i="2" s="1"/>
  <c r="A24" i="2"/>
  <c r="E24" i="2" l="1"/>
  <c r="E69" i="2" s="1"/>
  <c r="D24" i="2"/>
  <c r="D69" i="2" s="1"/>
  <c r="A70" i="2"/>
  <c r="B24" i="2"/>
  <c r="B69" i="2" s="1"/>
  <c r="C24" i="2"/>
  <c r="C69" i="2" s="1"/>
  <c r="A25" i="2"/>
  <c r="E25" i="2" l="1"/>
  <c r="E70" i="2" s="1"/>
  <c r="D25" i="2"/>
  <c r="D70" i="2" s="1"/>
  <c r="A71" i="2"/>
  <c r="C25" i="2"/>
  <c r="C70" i="2" s="1"/>
  <c r="B25" i="2"/>
  <c r="B70" i="2" s="1"/>
  <c r="A26" i="2"/>
  <c r="D26" i="2" l="1"/>
  <c r="D71" i="2" s="1"/>
  <c r="E26" i="2"/>
  <c r="E71" i="2" s="1"/>
  <c r="A72" i="2"/>
  <c r="C26" i="2"/>
  <c r="C71" i="2" s="1"/>
  <c r="B26" i="2"/>
  <c r="B71" i="2" s="1"/>
  <c r="A27" i="2"/>
  <c r="D27" i="2" l="1"/>
  <c r="D72" i="2" s="1"/>
  <c r="E27" i="2"/>
  <c r="E72" i="2" s="1"/>
  <c r="A73" i="2"/>
  <c r="B27" i="2"/>
  <c r="B72" i="2" s="1"/>
  <c r="C27" i="2"/>
  <c r="C72" i="2" s="1"/>
  <c r="A28" i="2"/>
  <c r="E28" i="2" l="1"/>
  <c r="E73" i="2" s="1"/>
  <c r="D28" i="2"/>
  <c r="D73" i="2" s="1"/>
  <c r="A74" i="2"/>
  <c r="B28" i="2"/>
  <c r="B73" i="2" s="1"/>
  <c r="C28" i="2"/>
  <c r="C73" i="2" s="1"/>
  <c r="A29" i="2"/>
  <c r="E29" i="2" l="1"/>
  <c r="E74" i="2" s="1"/>
  <c r="D29" i="2"/>
  <c r="D74" i="2" s="1"/>
  <c r="A75" i="2"/>
  <c r="A30" i="2"/>
  <c r="B29" i="2"/>
  <c r="B74" i="2" s="1"/>
  <c r="C29" i="2"/>
  <c r="C74" i="2" s="1"/>
  <c r="A31" i="2"/>
  <c r="E31" i="2" l="1"/>
  <c r="E76" i="2" s="1"/>
  <c r="D31" i="2"/>
  <c r="D76" i="2" s="1"/>
  <c r="E30" i="2"/>
  <c r="E75" i="2" s="1"/>
  <c r="D30" i="2"/>
  <c r="D75" i="2" s="1"/>
  <c r="A76" i="2"/>
  <c r="B31" i="2"/>
  <c r="B76" i="2" s="1"/>
  <c r="C31" i="2"/>
  <c r="C76" i="2" s="1"/>
  <c r="C30" i="2"/>
  <c r="C75" i="2" s="1"/>
  <c r="B30" i="2"/>
  <c r="B75" i="2" s="1"/>
  <c r="A32" i="2"/>
  <c r="E32" i="2" l="1"/>
  <c r="E77" i="2" s="1"/>
  <c r="D32" i="2"/>
  <c r="D77" i="2" s="1"/>
  <c r="A77" i="2"/>
  <c r="B32" i="2"/>
  <c r="B77" i="2" s="1"/>
  <c r="A33" i="2"/>
  <c r="C32" i="2"/>
  <c r="C77" i="2" s="1"/>
  <c r="E33" i="2" l="1"/>
  <c r="E78" i="2" s="1"/>
  <c r="D33" i="2"/>
  <c r="D78" i="2" s="1"/>
  <c r="A78" i="2"/>
  <c r="C33" i="2"/>
  <c r="C78" i="2" s="1"/>
  <c r="A34" i="2"/>
  <c r="B33" i="2"/>
  <c r="B78" i="2" s="1"/>
  <c r="E34" i="2" l="1"/>
  <c r="E79" i="2" s="1"/>
  <c r="D34" i="2"/>
  <c r="D79" i="2" s="1"/>
  <c r="A79" i="2"/>
  <c r="C34" i="2"/>
  <c r="C79" i="2" s="1"/>
  <c r="B34" i="2"/>
  <c r="B79" i="2" s="1"/>
  <c r="A35" i="2"/>
  <c r="D35" i="2" l="1"/>
  <c r="D80" i="2" s="1"/>
  <c r="E35" i="2"/>
  <c r="E80" i="2" s="1"/>
  <c r="A80" i="2"/>
  <c r="B35" i="2"/>
  <c r="B80" i="2" s="1"/>
  <c r="C35" i="2"/>
  <c r="C80" i="2" s="1"/>
  <c r="A36" i="2"/>
  <c r="E36" i="2" l="1"/>
  <c r="E81" i="2" s="1"/>
  <c r="D36" i="2"/>
  <c r="D81" i="2" s="1"/>
  <c r="A81" i="2"/>
  <c r="A37" i="2"/>
  <c r="C36" i="2"/>
  <c r="C81" i="2" s="1"/>
  <c r="B36" i="2"/>
  <c r="B81" i="2" s="1"/>
  <c r="E37" i="2" l="1"/>
  <c r="E82" i="2" s="1"/>
  <c r="D37" i="2"/>
  <c r="D82" i="2" s="1"/>
  <c r="A82" i="2"/>
  <c r="A38" i="2"/>
  <c r="B37" i="2"/>
  <c r="B82" i="2" s="1"/>
  <c r="C37" i="2"/>
  <c r="C82" i="2" s="1"/>
  <c r="E38" i="2" l="1"/>
  <c r="E83" i="2" s="1"/>
  <c r="D38" i="2"/>
  <c r="D83" i="2" s="1"/>
  <c r="A83" i="2"/>
  <c r="A39" i="2"/>
  <c r="B38" i="2"/>
  <c r="B83" i="2" s="1"/>
  <c r="C38" i="2"/>
  <c r="C83" i="2" s="1"/>
  <c r="E39" i="2" l="1"/>
  <c r="E84" i="2" s="1"/>
  <c r="D39" i="2"/>
  <c r="D84" i="2" s="1"/>
  <c r="A84" i="2"/>
  <c r="B39" i="2"/>
  <c r="B84" i="2" s="1"/>
  <c r="A40" i="2"/>
  <c r="C39" i="2"/>
  <c r="C84" i="2" s="1"/>
  <c r="E40" i="2" l="1"/>
  <c r="E85" i="2" s="1"/>
  <c r="D40" i="2"/>
  <c r="D85" i="2" s="1"/>
  <c r="A85" i="2"/>
  <c r="A41" i="2"/>
  <c r="C40" i="2"/>
  <c r="C85" i="2" s="1"/>
  <c r="B40" i="2"/>
  <c r="B85" i="2" s="1"/>
  <c r="E41" i="2" l="1"/>
  <c r="E86" i="2" s="1"/>
  <c r="D41" i="2"/>
  <c r="D86" i="2" s="1"/>
  <c r="A86" i="2"/>
  <c r="B41" i="2"/>
  <c r="B86" i="2" s="1"/>
  <c r="C41" i="2"/>
  <c r="C86" i="2" s="1"/>
  <c r="A42" i="2"/>
  <c r="D42" i="2" l="1"/>
  <c r="D87" i="2" s="1"/>
  <c r="E42" i="2"/>
  <c r="E87" i="2" s="1"/>
  <c r="A87" i="2"/>
  <c r="B42" i="2"/>
  <c r="B87" i="2" s="1"/>
  <c r="C42" i="2"/>
  <c r="C87" i="2" s="1"/>
  <c r="A43" i="2"/>
  <c r="D43" i="2" l="1"/>
  <c r="D88" i="2" s="1"/>
  <c r="E43" i="2"/>
  <c r="E88" i="2" s="1"/>
  <c r="A88" i="2"/>
  <c r="B43" i="2"/>
  <c r="B88" i="2" s="1"/>
  <c r="A44" i="2"/>
  <c r="C43" i="2"/>
  <c r="C88" i="2" s="1"/>
  <c r="E44" i="2" l="1"/>
  <c r="E89" i="2" s="1"/>
  <c r="D44" i="2"/>
  <c r="D89" i="2" s="1"/>
  <c r="A89" i="2"/>
  <c r="B44" i="2"/>
  <c r="B89" i="2" s="1"/>
  <c r="C44" i="2"/>
  <c r="C89" i="2" s="1"/>
  <c r="A45" i="2"/>
  <c r="E45" i="2" l="1"/>
  <c r="E90" i="2" s="1"/>
  <c r="D45" i="2"/>
  <c r="D90" i="2" s="1"/>
  <c r="A90" i="2"/>
  <c r="A46" i="2"/>
  <c r="C45" i="2"/>
  <c r="C90" i="2" s="1"/>
  <c r="B45" i="2"/>
  <c r="B90" i="2" s="1"/>
  <c r="E46" i="2" l="1"/>
  <c r="E91" i="2" s="1"/>
  <c r="D46" i="2"/>
  <c r="D91" i="2" s="1"/>
  <c r="A91" i="2"/>
  <c r="C46" i="2"/>
  <c r="C91" i="2" s="1"/>
  <c r="B46" i="2"/>
  <c r="B91" i="2" s="1"/>
  <c r="A47" i="2"/>
  <c r="E47" i="2" l="1"/>
  <c r="E92" i="2" s="1"/>
  <c r="D47" i="2"/>
  <c r="D92" i="2" s="1"/>
  <c r="A92" i="2"/>
  <c r="C47" i="2"/>
  <c r="C92" i="2" s="1"/>
  <c r="A48" i="2"/>
  <c r="B47" i="2"/>
  <c r="B92" i="2" s="1"/>
  <c r="E48" i="2" l="1"/>
  <c r="E93" i="2" s="1"/>
  <c r="D48" i="2"/>
  <c r="D93" i="2" s="1"/>
  <c r="A93" i="2"/>
  <c r="C48" i="2"/>
  <c r="C93" i="2" s="1"/>
  <c r="B48" i="2"/>
  <c r="B93" i="2" s="1"/>
  <c r="A49" i="2"/>
  <c r="E49" i="2" l="1"/>
  <c r="E94" i="2" s="1"/>
  <c r="D49" i="2"/>
  <c r="D94" i="2" s="1"/>
  <c r="A94" i="2"/>
  <c r="B49" i="2"/>
  <c r="B94" i="2" s="1"/>
  <c r="A50" i="2"/>
  <c r="C49" i="2"/>
  <c r="C94" i="2" s="1"/>
  <c r="D50" i="2" l="1"/>
  <c r="D95" i="2" s="1"/>
  <c r="E50" i="2"/>
  <c r="E95" i="2" s="1"/>
  <c r="A95" i="2"/>
  <c r="A51" i="2"/>
  <c r="C50" i="2"/>
  <c r="C95" i="2" s="1"/>
  <c r="B50" i="2"/>
  <c r="B95" i="2" s="1"/>
  <c r="D51" i="2" l="1"/>
  <c r="D96" i="2" s="1"/>
  <c r="E51" i="2"/>
  <c r="E96" i="2" s="1"/>
  <c r="A96" i="2"/>
  <c r="A52" i="2"/>
  <c r="B51" i="2"/>
  <c r="B96" i="2" s="1"/>
  <c r="C51" i="2"/>
  <c r="C96" i="2" s="1"/>
  <c r="E52" i="2" l="1"/>
  <c r="E97" i="2" s="1"/>
  <c r="D52" i="2"/>
  <c r="D97" i="2" s="1"/>
  <c r="A97" i="2"/>
  <c r="C52" i="2"/>
  <c r="C97" i="2" s="1"/>
  <c r="A53" i="2"/>
  <c r="B52" i="2"/>
  <c r="B97" i="2" s="1"/>
  <c r="E53" i="2" l="1"/>
  <c r="E98" i="2" s="1"/>
  <c r="D53" i="2"/>
  <c r="D98" i="2" s="1"/>
  <c r="A98" i="2"/>
  <c r="A54" i="2"/>
  <c r="C53" i="2"/>
  <c r="C98" i="2" s="1"/>
  <c r="B53" i="2"/>
  <c r="B98" i="2" s="1"/>
  <c r="E54" i="2" l="1"/>
  <c r="E99" i="2" s="1"/>
  <c r="D54" i="2"/>
  <c r="D99" i="2" s="1"/>
  <c r="A99" i="2"/>
  <c r="C54" i="2"/>
  <c r="C99" i="2" s="1"/>
  <c r="B54" i="2"/>
  <c r="B99" i="2" s="1"/>
</calcChain>
</file>

<file path=xl/sharedStrings.xml><?xml version="1.0" encoding="utf-8"?>
<sst xmlns="http://schemas.openxmlformats.org/spreadsheetml/2006/main" count="116" uniqueCount="78">
  <si>
    <t>Binary64</t>
  </si>
  <si>
    <t>Binary32</t>
  </si>
  <si>
    <t>Memory throughput (Gio/s)</t>
  </si>
  <si>
    <t>GCD frequency (GHz)</t>
  </si>
  <si>
    <t>CU per GCD</t>
  </si>
  <si>
    <t>MI250X GCD</t>
  </si>
  <si>
    <t>Peak Flop/s</t>
  </si>
  <si>
    <t>TODO(Etienne M): practical peak? Stream</t>
  </si>
  <si>
    <t>TODO(Etienne M): practical peak (gemm)</t>
  </si>
  <si>
    <t>0x0</t>
  </si>
  <si>
    <t>Index</t>
  </si>
  <si>
    <t>KernelName</t>
  </si>
  <si>
    <t>gpu-id</t>
  </si>
  <si>
    <t>queue-id</t>
  </si>
  <si>
    <t>queue-index</t>
  </si>
  <si>
    <t>pid</t>
  </si>
  <si>
    <t>tid</t>
  </si>
  <si>
    <t>grd</t>
  </si>
  <si>
    <t>wgr</t>
  </si>
  <si>
    <t>lds</t>
  </si>
  <si>
    <t>scr</t>
  </si>
  <si>
    <t>arch_vgpr</t>
  </si>
  <si>
    <t>accum_vgpr</t>
  </si>
  <si>
    <t>sgpr</t>
  </si>
  <si>
    <t>wave_size</t>
  </si>
  <si>
    <t>sig</t>
  </si>
  <si>
    <t>obj</t>
  </si>
  <si>
    <t>TCC_EA_RDREQ_32B_sum</t>
  </si>
  <si>
    <t>TCC_EA_RDREQ_sum</t>
  </si>
  <si>
    <t>TCC_EA_WRREQ_sum</t>
  </si>
  <si>
    <t>TCC_EA_WRREQ_64B_sum</t>
  </si>
  <si>
    <t>SQ_INSTS_VALU_ADD_F32</t>
  </si>
  <si>
    <t>SQ_INSTS_VALU_MUL_F32</t>
  </si>
  <si>
    <t>SQ_INSTS_VALU_FMA_F32</t>
  </si>
  <si>
    <t>SQ_INSTS_VALU_TRANS_F32</t>
  </si>
  <si>
    <t>SQ_INSTS_VALU_ADD_F64</t>
  </si>
  <si>
    <t>SQ_INSTS_VALU_MUL_F64</t>
  </si>
  <si>
    <t>SQ_INSTS_VALU_FMA_F64</t>
  </si>
  <si>
    <t>SQ_INSTS_VALU_TRANS_F64</t>
  </si>
  <si>
    <t>SQ_INSTS_VALU_MFMA_MOPS_F32</t>
  </si>
  <si>
    <t>SQ_INSTS_VALU_MFMA_MOPS_F64</t>
  </si>
  <si>
    <t>DispatchNs</t>
  </si>
  <si>
    <t>BeginNs</t>
  </si>
  <si>
    <t>EndNs</t>
  </si>
  <si>
    <t>CompleteNs</t>
  </si>
  <si>
    <t>Flop/octet</t>
  </si>
  <si>
    <t>rocprof -i program_counters.txt --timestamp on -o "rocprof_logs_$(date +%s).csv" "${1}"</t>
  </si>
  <si>
    <t>SIMD lane per wavefront</t>
  </si>
  <si>
    <t>Flop/CU/clock</t>
  </si>
  <si>
    <t>Flop/clock</t>
  </si>
  <si>
    <t>Duration (s)</t>
  </si>
  <si>
    <t>Flop</t>
  </si>
  <si>
    <t>Octet</t>
  </si>
  <si>
    <t>Binary64 kernels</t>
  </si>
  <si>
    <t>Binary32 kernels</t>
  </si>
  <si>
    <t>Octet/Flop</t>
  </si>
  <si>
    <t>gpu: 0 
kernel : 
pmc : TCC_EA_RDREQ_32B_sum TCC_EA_RDREQ_sum TCC_EA_WRREQ_sum TCC_EA_WRREQ_64B_sum SQ_INSTS_VALU_ADD_F64 SQ_INSTS_VALU_MUL_F64 SQ_INSTS_VALU_FMA_F64 SQ_INSTS_VALU_TRANS_F64 SQ_INSTS_VALU_MFMA_MOPS_F64</t>
  </si>
  <si>
    <t>gpu: 0 
kernel : 
pmc : TCC_EA_RDREQ_32B_sum TCC_EA_RDREQ_sum TCC_EA_WRREQ_sum TCC_EA_WRREQ_64B_sum SQ_INSTS_VALU_ADD_F32 SQ_INSTS_VALU_MUL_F32 SQ_INSTS_VALU_FMA_F32 SQ_INSTS_VALU_TRANS_F32 SQ_INSTS_VALU_MFMA_MOPS_F32</t>
  </si>
  <si>
    <t>GFlop/s</t>
  </si>
  <si>
    <t>__omp_offloading_84f0b5a2_fc00fd83__ZL4BurnjjPdS__l25_cce$noloop$form,kd</t>
  </si>
  <si>
    <t>void Kokkos::Experimental::Impl::hip_parallel_launch_local_memory&lt;Kokkos::Impl::ParallelFor&lt;koliop::collision::State&lt;koliop::collision::CollisionPolicy&gt;::DoMultiply&lt;Kokkos::Experimental::HIP, Kokkos::View&lt;double**, Kokkos::Experimental::HIPSpace&gt;, Kokkos::View&lt;double*, Kokkos::Experimental::HIPSpace&gt;, Kokkos::View&lt;double*, Kokkos::Experimental::HIPSpace&gt; &gt;(Kokkos::Experimental::HIP const&amp;, Kokkos::View&lt;double**, Kokkos::Experimental::HIPSpace&gt; const&amp;, Kokkos::View&lt;double*, Kokkos::Experimental::HIPSpace&gt; const&amp;, Kokkos::View&lt;double*, Kokkos::Experimental::HIPSpace&gt;&amp;)::{lambda(int)#1}, Kokkos::RangePolicy&lt;Kokkos::Experimental::HIP, Kokkos::Experimental::WorkItemProperty::ImplWorkItemProperty&lt;0ul&gt; &gt;, Kokkos::Experimental::HIP&gt;, 1024u, 1u&gt;(Kokkos::Impl::ParallelFor&lt;koliop::collision::State&lt;koliop::collision::CollisionPolicy&gt;::DoMultiply&lt;Kokkos::Experimental::HIP, Kokkos::View&lt;double**, Kokkos::Experimental::HIPSpace&gt;, Kokkos::View&lt;double*, Kokkos::Experimental::HIPSpace&gt;, Kokkos::View&lt;double*, Kokkos::Experimental::HIPSpace&gt; &gt;(Kokkos::Experimental::HIP const&amp;, Kokkos::View&lt;double**, Kokkos::Experimental::HIPSpace&gt; const&amp;, Kokkos::View&lt;double*, Kokkos::Experimental::HIPSpace&gt; const&amp;, Kokkos::View&lt;double*, Kokkos::Experimental::HIPSpace&gt;&amp;)::{lambda(int)#1}, Kokkos::RangePolicy&lt;Kokkos::Experimental::HIP, Kokkos::Experimental::WorkItemProperty::ImplWorkItemProperty&lt;0ul&gt; &gt;, Kokkos::Experimental::HIP&gt; const*) [clone ,kd]</t>
  </si>
  <si>
    <t>0x7fe28d215e80</t>
  </si>
  <si>
    <t>0x7f69542f8b80</t>
  </si>
  <si>
    <t>TODO(Etienne M): 128 or 256 ? Binary32 float2 ?</t>
  </si>
  <si>
    <t>Scalar</t>
  </si>
  <si>
    <t>Matrix FMA</t>
  </si>
  <si>
    <t>Scalar Gflop/s roofline</t>
  </si>
  <si>
    <t>Matrix FMA Gflop/s roofline</t>
  </si>
  <si>
    <t>Arithmetic intensity
(Flop/octet loaded or stored)</t>
  </si>
  <si>
    <t>80 % Roofline</t>
  </si>
  <si>
    <t>Scalar Binary32</t>
  </si>
  <si>
    <t>80% Scalar Binary32</t>
  </si>
  <si>
    <t>80% Scalar Binary64</t>
  </si>
  <si>
    <t>80% MFMA Binary64</t>
  </si>
  <si>
    <t>80% MFMA Binary32</t>
  </si>
  <si>
    <t>Scalar Binary64</t>
  </si>
  <si>
    <t>MFMA Binary64</t>
  </si>
  <si>
    <t>MFMA Binary32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</si>
</sst>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MI250X GCD Roofline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Graph!$B$12</c:f>
              <c:strCache>
                <c:ptCount val="1"/>
                <c:pt idx="0">
                  <c:v>Scalar Binary64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Graph!$A$13:$A$54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Graph!$B$13:$B$54</c:f>
              <c:numCache>
                <c:formatCode>General</c:formatCode>
                <c:ptCount val="42"/>
                <c:pt idx="0">
                  <c:v>3.3554431999999998</c:v>
                </c:pt>
                <c:pt idx="1">
                  <c:v>6.7108863999999997</c:v>
                </c:pt>
                <c:pt idx="2">
                  <c:v>13.421772799999999</c:v>
                </c:pt>
                <c:pt idx="3">
                  <c:v>26.843545599999999</c:v>
                </c:pt>
                <c:pt idx="4">
                  <c:v>53.687091199999998</c:v>
                </c:pt>
                <c:pt idx="5">
                  <c:v>107.3741824</c:v>
                </c:pt>
                <c:pt idx="6">
                  <c:v>214.74836479999999</c:v>
                </c:pt>
                <c:pt idx="7">
                  <c:v>429.49672959999998</c:v>
                </c:pt>
                <c:pt idx="8">
                  <c:v>858.99345919999996</c:v>
                </c:pt>
                <c:pt idx="9">
                  <c:v>1717.9869183999999</c:v>
                </c:pt>
                <c:pt idx="10">
                  <c:v>3435.9738367999998</c:v>
                </c:pt>
                <c:pt idx="11">
                  <c:v>6871.9476735999997</c:v>
                </c:pt>
                <c:pt idx="12">
                  <c:v>13743.895347199999</c:v>
                </c:pt>
                <c:pt idx="13">
                  <c:v>23936</c:v>
                </c:pt>
                <c:pt idx="14">
                  <c:v>23936</c:v>
                </c:pt>
                <c:pt idx="15">
                  <c:v>23936</c:v>
                </c:pt>
                <c:pt idx="16">
                  <c:v>23936</c:v>
                </c:pt>
                <c:pt idx="17">
                  <c:v>23936</c:v>
                </c:pt>
                <c:pt idx="18">
                  <c:v>23936</c:v>
                </c:pt>
                <c:pt idx="19">
                  <c:v>23936</c:v>
                </c:pt>
                <c:pt idx="20">
                  <c:v>23936</c:v>
                </c:pt>
                <c:pt idx="21">
                  <c:v>23936</c:v>
                </c:pt>
                <c:pt idx="22">
                  <c:v>23936</c:v>
                </c:pt>
                <c:pt idx="23">
                  <c:v>23936</c:v>
                </c:pt>
                <c:pt idx="24">
                  <c:v>23936</c:v>
                </c:pt>
                <c:pt idx="25">
                  <c:v>23936</c:v>
                </c:pt>
                <c:pt idx="26">
                  <c:v>23936</c:v>
                </c:pt>
                <c:pt idx="27">
                  <c:v>23936</c:v>
                </c:pt>
                <c:pt idx="28">
                  <c:v>23936</c:v>
                </c:pt>
                <c:pt idx="29">
                  <c:v>23936</c:v>
                </c:pt>
                <c:pt idx="30">
                  <c:v>23936</c:v>
                </c:pt>
                <c:pt idx="31">
                  <c:v>23936</c:v>
                </c:pt>
                <c:pt idx="32">
                  <c:v>23936</c:v>
                </c:pt>
                <c:pt idx="33">
                  <c:v>23936</c:v>
                </c:pt>
                <c:pt idx="34">
                  <c:v>23936</c:v>
                </c:pt>
                <c:pt idx="35">
                  <c:v>23936</c:v>
                </c:pt>
                <c:pt idx="36">
                  <c:v>23936</c:v>
                </c:pt>
                <c:pt idx="37">
                  <c:v>23936</c:v>
                </c:pt>
                <c:pt idx="38">
                  <c:v>23936</c:v>
                </c:pt>
                <c:pt idx="39">
                  <c:v>23936</c:v>
                </c:pt>
                <c:pt idx="40">
                  <c:v>23936</c:v>
                </c:pt>
                <c:pt idx="41">
                  <c:v>23936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7-4FCA-8392-E716EA724A1A}"/>
            </c:ext>
          </c:extLst>
        </c:ser>
        <c:ser>
          <c:idx val="1"/>
          <c:order val="1"/>
          <c:tx>
            <c:strRef>
              <c:f>Graph!$C$12</c:f>
              <c:strCache>
                <c:ptCount val="1"/>
                <c:pt idx="0">
                  <c:v>Scalar Binary32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Graph!$A$13:$A$54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Graph!$C$13:$C$54</c:f>
              <c:numCache>
                <c:formatCode>General</c:formatCode>
                <c:ptCount val="42"/>
                <c:pt idx="0">
                  <c:v>3.3554431999999998</c:v>
                </c:pt>
                <c:pt idx="1">
                  <c:v>6.7108863999999997</c:v>
                </c:pt>
                <c:pt idx="2">
                  <c:v>13.421772799999999</c:v>
                </c:pt>
                <c:pt idx="3">
                  <c:v>26.843545599999999</c:v>
                </c:pt>
                <c:pt idx="4">
                  <c:v>53.687091199999998</c:v>
                </c:pt>
                <c:pt idx="5">
                  <c:v>107.3741824</c:v>
                </c:pt>
                <c:pt idx="6">
                  <c:v>214.74836479999999</c:v>
                </c:pt>
                <c:pt idx="7">
                  <c:v>429.49672959999998</c:v>
                </c:pt>
                <c:pt idx="8">
                  <c:v>858.99345919999996</c:v>
                </c:pt>
                <c:pt idx="9">
                  <c:v>1717.9869183999999</c:v>
                </c:pt>
                <c:pt idx="10">
                  <c:v>3435.9738367999998</c:v>
                </c:pt>
                <c:pt idx="11">
                  <c:v>6871.9476735999997</c:v>
                </c:pt>
                <c:pt idx="12">
                  <c:v>13743.895347199999</c:v>
                </c:pt>
                <c:pt idx="13">
                  <c:v>23936</c:v>
                </c:pt>
                <c:pt idx="14">
                  <c:v>23936</c:v>
                </c:pt>
                <c:pt idx="15">
                  <c:v>23936</c:v>
                </c:pt>
                <c:pt idx="16">
                  <c:v>23936</c:v>
                </c:pt>
                <c:pt idx="17">
                  <c:v>23936</c:v>
                </c:pt>
                <c:pt idx="18">
                  <c:v>23936</c:v>
                </c:pt>
                <c:pt idx="19">
                  <c:v>23936</c:v>
                </c:pt>
                <c:pt idx="20">
                  <c:v>23936</c:v>
                </c:pt>
                <c:pt idx="21">
                  <c:v>23936</c:v>
                </c:pt>
                <c:pt idx="22">
                  <c:v>23936</c:v>
                </c:pt>
                <c:pt idx="23">
                  <c:v>23936</c:v>
                </c:pt>
                <c:pt idx="24">
                  <c:v>23936</c:v>
                </c:pt>
                <c:pt idx="25">
                  <c:v>23936</c:v>
                </c:pt>
                <c:pt idx="26">
                  <c:v>23936</c:v>
                </c:pt>
                <c:pt idx="27">
                  <c:v>23936</c:v>
                </c:pt>
                <c:pt idx="28">
                  <c:v>23936</c:v>
                </c:pt>
                <c:pt idx="29">
                  <c:v>23936</c:v>
                </c:pt>
                <c:pt idx="30">
                  <c:v>23936</c:v>
                </c:pt>
                <c:pt idx="31">
                  <c:v>23936</c:v>
                </c:pt>
                <c:pt idx="32">
                  <c:v>23936</c:v>
                </c:pt>
                <c:pt idx="33">
                  <c:v>23936</c:v>
                </c:pt>
                <c:pt idx="34">
                  <c:v>23936</c:v>
                </c:pt>
                <c:pt idx="35">
                  <c:v>23936</c:v>
                </c:pt>
                <c:pt idx="36">
                  <c:v>23936</c:v>
                </c:pt>
                <c:pt idx="37">
                  <c:v>23936</c:v>
                </c:pt>
                <c:pt idx="38">
                  <c:v>23936</c:v>
                </c:pt>
                <c:pt idx="39">
                  <c:v>23936</c:v>
                </c:pt>
                <c:pt idx="40">
                  <c:v>23936</c:v>
                </c:pt>
                <c:pt idx="41">
                  <c:v>23936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27-4FCA-8392-E716EA724A1A}"/>
            </c:ext>
          </c:extLst>
        </c:ser>
        <c:ser>
          <c:idx val="2"/>
          <c:order val="2"/>
          <c:tx>
            <c:strRef>
              <c:f>Graph!$D$12</c:f>
              <c:strCache>
                <c:ptCount val="1"/>
                <c:pt idx="0">
                  <c:v>MFMA Binary64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Graph!$A$13:$A$54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Graph!$D$13:$D$54</c:f>
              <c:numCache>
                <c:formatCode>General</c:formatCode>
                <c:ptCount val="42"/>
                <c:pt idx="0">
                  <c:v>3.3554431999999998</c:v>
                </c:pt>
                <c:pt idx="1">
                  <c:v>6.7108863999999997</c:v>
                </c:pt>
                <c:pt idx="2">
                  <c:v>13.421772799999999</c:v>
                </c:pt>
                <c:pt idx="3">
                  <c:v>26.843545599999999</c:v>
                </c:pt>
                <c:pt idx="4">
                  <c:v>53.687091199999998</c:v>
                </c:pt>
                <c:pt idx="5">
                  <c:v>107.3741824</c:v>
                </c:pt>
                <c:pt idx="6">
                  <c:v>214.74836479999999</c:v>
                </c:pt>
                <c:pt idx="7">
                  <c:v>429.49672959999998</c:v>
                </c:pt>
                <c:pt idx="8">
                  <c:v>858.99345919999996</c:v>
                </c:pt>
                <c:pt idx="9">
                  <c:v>1717.9869183999999</c:v>
                </c:pt>
                <c:pt idx="10">
                  <c:v>3435.9738367999998</c:v>
                </c:pt>
                <c:pt idx="11">
                  <c:v>6871.9476735999997</c:v>
                </c:pt>
                <c:pt idx="12">
                  <c:v>13743.895347199999</c:v>
                </c:pt>
                <c:pt idx="13">
                  <c:v>27487.790694399999</c:v>
                </c:pt>
                <c:pt idx="14">
                  <c:v>47872</c:v>
                </c:pt>
                <c:pt idx="15">
                  <c:v>47872</c:v>
                </c:pt>
                <c:pt idx="16">
                  <c:v>47872</c:v>
                </c:pt>
                <c:pt idx="17">
                  <c:v>47872</c:v>
                </c:pt>
                <c:pt idx="18">
                  <c:v>47872</c:v>
                </c:pt>
                <c:pt idx="19">
                  <c:v>47872</c:v>
                </c:pt>
                <c:pt idx="20">
                  <c:v>47872</c:v>
                </c:pt>
                <c:pt idx="21">
                  <c:v>47872</c:v>
                </c:pt>
                <c:pt idx="22">
                  <c:v>47872</c:v>
                </c:pt>
                <c:pt idx="23">
                  <c:v>47872</c:v>
                </c:pt>
                <c:pt idx="24">
                  <c:v>47872</c:v>
                </c:pt>
                <c:pt idx="25">
                  <c:v>47872</c:v>
                </c:pt>
                <c:pt idx="26">
                  <c:v>47872</c:v>
                </c:pt>
                <c:pt idx="27">
                  <c:v>47872</c:v>
                </c:pt>
                <c:pt idx="28">
                  <c:v>47872</c:v>
                </c:pt>
                <c:pt idx="29">
                  <c:v>47872</c:v>
                </c:pt>
                <c:pt idx="30">
                  <c:v>47872</c:v>
                </c:pt>
                <c:pt idx="31">
                  <c:v>47872</c:v>
                </c:pt>
                <c:pt idx="32">
                  <c:v>47872</c:v>
                </c:pt>
                <c:pt idx="33">
                  <c:v>47872</c:v>
                </c:pt>
                <c:pt idx="34">
                  <c:v>47872</c:v>
                </c:pt>
                <c:pt idx="35">
                  <c:v>47872</c:v>
                </c:pt>
                <c:pt idx="36">
                  <c:v>47872</c:v>
                </c:pt>
                <c:pt idx="37">
                  <c:v>47872</c:v>
                </c:pt>
                <c:pt idx="38">
                  <c:v>47872</c:v>
                </c:pt>
                <c:pt idx="39">
                  <c:v>47872</c:v>
                </c:pt>
                <c:pt idx="40">
                  <c:v>47872</c:v>
                </c:pt>
                <c:pt idx="41">
                  <c:v>47872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27-4FCA-8392-E716EA724A1A}"/>
            </c:ext>
          </c:extLst>
        </c:ser>
        <c:ser>
          <c:idx val="3"/>
          <c:order val="3"/>
          <c:tx>
            <c:strRef>
              <c:f>'Process kernel profile data'!$B$1:$G$1</c:f>
              <c:strCache>
                <c:ptCount val="1"/>
                <c:pt idx="0">
                  <c:v>Binary64 kernels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'Process kernel profile data'!$F$3:$F$35</c:f>
              <c:numCache>
                <c:formatCode>General</c:formatCode>
                <c:ptCount val="33"/>
                <c:pt idx="0">
                  <c:v>0.49987280254793426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xVal>
          <c:yVal>
            <c:numRef>
              <c:f>'Process kernel profile data'!$E$3:$E$35</c:f>
              <c:numCache>
                <c:formatCode>General</c:formatCode>
                <c:ptCount val="33"/>
                <c:pt idx="0">
                  <c:v>272.43233674838797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27-4FCA-8392-E716EA724A1A}"/>
            </c:ext>
          </c:extLst>
        </c:ser>
        <c:ser>
          <c:idx val="4"/>
          <c:order val="4"/>
          <c:tx>
            <c:strRef>
              <c:f>'Process kernel profile data'!$H$1:$M$1</c:f>
              <c:strCache>
                <c:ptCount val="1"/>
                <c:pt idx="0">
                  <c:v>Binary32 kernels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'Process kernel profile data'!$L$3:$L$35</c:f>
              <c:numCache>
                <c:formatCode>General</c:formatCode>
                <c:ptCount val="33"/>
                <c:pt idx="0">
                  <c:v>16623166.414884619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xVal>
          <c:yVal>
            <c:numRef>
              <c:f>'Process kernel profile data'!$K$3:$K$35</c:f>
              <c:numCache>
                <c:formatCode>General</c:formatCode>
                <c:ptCount val="33"/>
                <c:pt idx="0">
                  <c:v>19219.126860990957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27-4FCA-8392-E716EA724A1A}"/>
            </c:ext>
          </c:extLst>
        </c:ser>
        <c:ser>
          <c:idx val="5"/>
          <c:order val="5"/>
          <c:tx>
            <c:strRef>
              <c:f>Graph!$E$12</c:f>
              <c:strCache>
                <c:ptCount val="1"/>
                <c:pt idx="0">
                  <c:v>MFMA Binary32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Graph!$A$13:$A$54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Graph!$E$13:$E$54</c:f>
              <c:numCache>
                <c:formatCode>General</c:formatCode>
                <c:ptCount val="42"/>
                <c:pt idx="0">
                  <c:v>3.3554431999999998</c:v>
                </c:pt>
                <c:pt idx="1">
                  <c:v>6.7108863999999997</c:v>
                </c:pt>
                <c:pt idx="2">
                  <c:v>13.421772799999999</c:v>
                </c:pt>
                <c:pt idx="3">
                  <c:v>26.843545599999999</c:v>
                </c:pt>
                <c:pt idx="4">
                  <c:v>53.687091199999998</c:v>
                </c:pt>
                <c:pt idx="5">
                  <c:v>107.3741824</c:v>
                </c:pt>
                <c:pt idx="6">
                  <c:v>214.74836479999999</c:v>
                </c:pt>
                <c:pt idx="7">
                  <c:v>429.49672959999998</c:v>
                </c:pt>
                <c:pt idx="8">
                  <c:v>858.99345919999996</c:v>
                </c:pt>
                <c:pt idx="9">
                  <c:v>1717.9869183999999</c:v>
                </c:pt>
                <c:pt idx="10">
                  <c:v>3435.9738367999998</c:v>
                </c:pt>
                <c:pt idx="11">
                  <c:v>6871.9476735999997</c:v>
                </c:pt>
                <c:pt idx="12">
                  <c:v>13743.895347199999</c:v>
                </c:pt>
                <c:pt idx="13">
                  <c:v>27487.790694399999</c:v>
                </c:pt>
                <c:pt idx="14">
                  <c:v>47872</c:v>
                </c:pt>
                <c:pt idx="15">
                  <c:v>47872</c:v>
                </c:pt>
                <c:pt idx="16">
                  <c:v>47872</c:v>
                </c:pt>
                <c:pt idx="17">
                  <c:v>47872</c:v>
                </c:pt>
                <c:pt idx="18">
                  <c:v>47872</c:v>
                </c:pt>
                <c:pt idx="19">
                  <c:v>47872</c:v>
                </c:pt>
                <c:pt idx="20">
                  <c:v>47872</c:v>
                </c:pt>
                <c:pt idx="21">
                  <c:v>47872</c:v>
                </c:pt>
                <c:pt idx="22">
                  <c:v>47872</c:v>
                </c:pt>
                <c:pt idx="23">
                  <c:v>47872</c:v>
                </c:pt>
                <c:pt idx="24">
                  <c:v>47872</c:v>
                </c:pt>
                <c:pt idx="25">
                  <c:v>47872</c:v>
                </c:pt>
                <c:pt idx="26">
                  <c:v>47872</c:v>
                </c:pt>
                <c:pt idx="27">
                  <c:v>47872</c:v>
                </c:pt>
                <c:pt idx="28">
                  <c:v>47872</c:v>
                </c:pt>
                <c:pt idx="29">
                  <c:v>47872</c:v>
                </c:pt>
                <c:pt idx="30">
                  <c:v>47872</c:v>
                </c:pt>
                <c:pt idx="31">
                  <c:v>47872</c:v>
                </c:pt>
                <c:pt idx="32">
                  <c:v>47872</c:v>
                </c:pt>
                <c:pt idx="33">
                  <c:v>47872</c:v>
                </c:pt>
                <c:pt idx="34">
                  <c:v>47872</c:v>
                </c:pt>
                <c:pt idx="35">
                  <c:v>47872</c:v>
                </c:pt>
                <c:pt idx="36">
                  <c:v>47872</c:v>
                </c:pt>
                <c:pt idx="37">
                  <c:v>47872</c:v>
                </c:pt>
                <c:pt idx="38">
                  <c:v>47872</c:v>
                </c:pt>
                <c:pt idx="39">
                  <c:v>47872</c:v>
                </c:pt>
                <c:pt idx="40">
                  <c:v>47872</c:v>
                </c:pt>
                <c:pt idx="41">
                  <c:v>47872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49-4AC4-A5E8-7DE23A782771}"/>
            </c:ext>
          </c:extLst>
        </c:ser>
        <c:ser>
          <c:idx val="6"/>
          <c:order val="6"/>
          <c:tx>
            <c:strRef>
              <c:f>Graph!$B$57</c:f>
              <c:strCache>
                <c:ptCount val="1"/>
                <c:pt idx="0">
                  <c:v>80% Scalar Binary64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Graph!$A$58:$A$99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Graph!$B$58:$B$99</c:f>
              <c:numCache>
                <c:formatCode>General</c:formatCode>
                <c:ptCount val="42"/>
                <c:pt idx="0">
                  <c:v>2.6843545600000001</c:v>
                </c:pt>
                <c:pt idx="1">
                  <c:v>5.3687091200000001</c:v>
                </c:pt>
                <c:pt idx="2">
                  <c:v>10.73741824</c:v>
                </c:pt>
                <c:pt idx="3">
                  <c:v>21.47483648</c:v>
                </c:pt>
                <c:pt idx="4">
                  <c:v>42.949672960000001</c:v>
                </c:pt>
                <c:pt idx="5">
                  <c:v>85.899345920000002</c:v>
                </c:pt>
                <c:pt idx="6">
                  <c:v>171.79869184</c:v>
                </c:pt>
                <c:pt idx="7">
                  <c:v>343.59738368000001</c:v>
                </c:pt>
                <c:pt idx="8">
                  <c:v>687.19476736000001</c:v>
                </c:pt>
                <c:pt idx="9">
                  <c:v>1374.38953472</c:v>
                </c:pt>
                <c:pt idx="10">
                  <c:v>2748.7790694400001</c:v>
                </c:pt>
                <c:pt idx="11">
                  <c:v>5497.5581388800001</c:v>
                </c:pt>
                <c:pt idx="12">
                  <c:v>10995.11627776</c:v>
                </c:pt>
                <c:pt idx="13">
                  <c:v>19148.8</c:v>
                </c:pt>
                <c:pt idx="14">
                  <c:v>19148.8</c:v>
                </c:pt>
                <c:pt idx="15">
                  <c:v>19148.8</c:v>
                </c:pt>
                <c:pt idx="16">
                  <c:v>19148.8</c:v>
                </c:pt>
                <c:pt idx="17">
                  <c:v>19148.8</c:v>
                </c:pt>
                <c:pt idx="18">
                  <c:v>19148.8</c:v>
                </c:pt>
                <c:pt idx="19">
                  <c:v>19148.8</c:v>
                </c:pt>
                <c:pt idx="20">
                  <c:v>19148.8</c:v>
                </c:pt>
                <c:pt idx="21">
                  <c:v>19148.8</c:v>
                </c:pt>
                <c:pt idx="22">
                  <c:v>19148.8</c:v>
                </c:pt>
                <c:pt idx="23">
                  <c:v>19148.8</c:v>
                </c:pt>
                <c:pt idx="24">
                  <c:v>19148.8</c:v>
                </c:pt>
                <c:pt idx="25">
                  <c:v>19148.8</c:v>
                </c:pt>
                <c:pt idx="26">
                  <c:v>19148.8</c:v>
                </c:pt>
                <c:pt idx="27">
                  <c:v>19148.8</c:v>
                </c:pt>
                <c:pt idx="28">
                  <c:v>19148.8</c:v>
                </c:pt>
                <c:pt idx="29">
                  <c:v>19148.8</c:v>
                </c:pt>
                <c:pt idx="30">
                  <c:v>19148.8</c:v>
                </c:pt>
                <c:pt idx="31">
                  <c:v>19148.8</c:v>
                </c:pt>
                <c:pt idx="32">
                  <c:v>19148.8</c:v>
                </c:pt>
                <c:pt idx="33">
                  <c:v>19148.8</c:v>
                </c:pt>
                <c:pt idx="34">
                  <c:v>19148.8</c:v>
                </c:pt>
                <c:pt idx="35">
                  <c:v>19148.8</c:v>
                </c:pt>
                <c:pt idx="36">
                  <c:v>19148.8</c:v>
                </c:pt>
                <c:pt idx="37">
                  <c:v>19148.8</c:v>
                </c:pt>
                <c:pt idx="38">
                  <c:v>19148.8</c:v>
                </c:pt>
                <c:pt idx="39">
                  <c:v>19148.8</c:v>
                </c:pt>
                <c:pt idx="40">
                  <c:v>19148.8</c:v>
                </c:pt>
                <c:pt idx="41">
                  <c:v>19148.8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49-4AC4-A5E8-7DE23A782771}"/>
            </c:ext>
          </c:extLst>
        </c:ser>
        <c:ser>
          <c:idx val="7"/>
          <c:order val="7"/>
          <c:tx>
            <c:strRef>
              <c:f>Graph!$C$57</c:f>
              <c:strCache>
                <c:ptCount val="1"/>
                <c:pt idx="0">
                  <c:v>80% Scalar Binary32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Graph!$A$58:$A$99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Graph!$C$58:$C$99</c:f>
              <c:numCache>
                <c:formatCode>General</c:formatCode>
                <c:ptCount val="42"/>
                <c:pt idx="0">
                  <c:v>2.6843545600000001</c:v>
                </c:pt>
                <c:pt idx="1">
                  <c:v>5.3687091200000001</c:v>
                </c:pt>
                <c:pt idx="2">
                  <c:v>10.73741824</c:v>
                </c:pt>
                <c:pt idx="3">
                  <c:v>21.47483648</c:v>
                </c:pt>
                <c:pt idx="4">
                  <c:v>42.949672960000001</c:v>
                </c:pt>
                <c:pt idx="5">
                  <c:v>85.899345920000002</c:v>
                </c:pt>
                <c:pt idx="6">
                  <c:v>171.79869184</c:v>
                </c:pt>
                <c:pt idx="7">
                  <c:v>343.59738368000001</c:v>
                </c:pt>
                <c:pt idx="8">
                  <c:v>687.19476736000001</c:v>
                </c:pt>
                <c:pt idx="9">
                  <c:v>1374.38953472</c:v>
                </c:pt>
                <c:pt idx="10">
                  <c:v>2748.7790694400001</c:v>
                </c:pt>
                <c:pt idx="11">
                  <c:v>5497.5581388800001</c:v>
                </c:pt>
                <c:pt idx="12">
                  <c:v>10995.11627776</c:v>
                </c:pt>
                <c:pt idx="13">
                  <c:v>19148.8</c:v>
                </c:pt>
                <c:pt idx="14">
                  <c:v>19148.8</c:v>
                </c:pt>
                <c:pt idx="15">
                  <c:v>19148.8</c:v>
                </c:pt>
                <c:pt idx="16">
                  <c:v>19148.8</c:v>
                </c:pt>
                <c:pt idx="17">
                  <c:v>19148.8</c:v>
                </c:pt>
                <c:pt idx="18">
                  <c:v>19148.8</c:v>
                </c:pt>
                <c:pt idx="19">
                  <c:v>19148.8</c:v>
                </c:pt>
                <c:pt idx="20">
                  <c:v>19148.8</c:v>
                </c:pt>
                <c:pt idx="21">
                  <c:v>19148.8</c:v>
                </c:pt>
                <c:pt idx="22">
                  <c:v>19148.8</c:v>
                </c:pt>
                <c:pt idx="23">
                  <c:v>19148.8</c:v>
                </c:pt>
                <c:pt idx="24">
                  <c:v>19148.8</c:v>
                </c:pt>
                <c:pt idx="25">
                  <c:v>19148.8</c:v>
                </c:pt>
                <c:pt idx="26">
                  <c:v>19148.8</c:v>
                </c:pt>
                <c:pt idx="27">
                  <c:v>19148.8</c:v>
                </c:pt>
                <c:pt idx="28">
                  <c:v>19148.8</c:v>
                </c:pt>
                <c:pt idx="29">
                  <c:v>19148.8</c:v>
                </c:pt>
                <c:pt idx="30">
                  <c:v>19148.8</c:v>
                </c:pt>
                <c:pt idx="31">
                  <c:v>19148.8</c:v>
                </c:pt>
                <c:pt idx="32">
                  <c:v>19148.8</c:v>
                </c:pt>
                <c:pt idx="33">
                  <c:v>19148.8</c:v>
                </c:pt>
                <c:pt idx="34">
                  <c:v>19148.8</c:v>
                </c:pt>
                <c:pt idx="35">
                  <c:v>19148.8</c:v>
                </c:pt>
                <c:pt idx="36">
                  <c:v>19148.8</c:v>
                </c:pt>
                <c:pt idx="37">
                  <c:v>19148.8</c:v>
                </c:pt>
                <c:pt idx="38">
                  <c:v>19148.8</c:v>
                </c:pt>
                <c:pt idx="39">
                  <c:v>19148.8</c:v>
                </c:pt>
                <c:pt idx="40">
                  <c:v>19148.8</c:v>
                </c:pt>
                <c:pt idx="41">
                  <c:v>19148.8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49-4AC4-A5E8-7DE23A782771}"/>
            </c:ext>
          </c:extLst>
        </c:ser>
        <c:ser>
          <c:idx val="8"/>
          <c:order val="8"/>
          <c:tx>
            <c:strRef>
              <c:f>Graph!$D$57</c:f>
              <c:strCache>
                <c:ptCount val="1"/>
                <c:pt idx="0">
                  <c:v>80% MFMA Binary64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Graph!$A$58:$A$99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Graph!$D$58:$D$99</c:f>
              <c:numCache>
                <c:formatCode>General</c:formatCode>
                <c:ptCount val="42"/>
                <c:pt idx="0">
                  <c:v>2.6843545600000001</c:v>
                </c:pt>
                <c:pt idx="1">
                  <c:v>5.3687091200000001</c:v>
                </c:pt>
                <c:pt idx="2">
                  <c:v>10.73741824</c:v>
                </c:pt>
                <c:pt idx="3">
                  <c:v>21.47483648</c:v>
                </c:pt>
                <c:pt idx="4">
                  <c:v>42.949672960000001</c:v>
                </c:pt>
                <c:pt idx="5">
                  <c:v>85.899345920000002</c:v>
                </c:pt>
                <c:pt idx="6">
                  <c:v>171.79869184</c:v>
                </c:pt>
                <c:pt idx="7">
                  <c:v>343.59738368000001</c:v>
                </c:pt>
                <c:pt idx="8">
                  <c:v>687.19476736000001</c:v>
                </c:pt>
                <c:pt idx="9">
                  <c:v>1374.38953472</c:v>
                </c:pt>
                <c:pt idx="10">
                  <c:v>2748.7790694400001</c:v>
                </c:pt>
                <c:pt idx="11">
                  <c:v>5497.5581388800001</c:v>
                </c:pt>
                <c:pt idx="12">
                  <c:v>10995.11627776</c:v>
                </c:pt>
                <c:pt idx="13">
                  <c:v>21990.23255552</c:v>
                </c:pt>
                <c:pt idx="14">
                  <c:v>38297.599999999999</c:v>
                </c:pt>
                <c:pt idx="15">
                  <c:v>38297.599999999999</c:v>
                </c:pt>
                <c:pt idx="16">
                  <c:v>38297.599999999999</c:v>
                </c:pt>
                <c:pt idx="17">
                  <c:v>38297.599999999999</c:v>
                </c:pt>
                <c:pt idx="18">
                  <c:v>38297.599999999999</c:v>
                </c:pt>
                <c:pt idx="19">
                  <c:v>38297.599999999999</c:v>
                </c:pt>
                <c:pt idx="20">
                  <c:v>38297.599999999999</c:v>
                </c:pt>
                <c:pt idx="21">
                  <c:v>38297.599999999999</c:v>
                </c:pt>
                <c:pt idx="22">
                  <c:v>38297.599999999999</c:v>
                </c:pt>
                <c:pt idx="23">
                  <c:v>38297.599999999999</c:v>
                </c:pt>
                <c:pt idx="24">
                  <c:v>38297.599999999999</c:v>
                </c:pt>
                <c:pt idx="25">
                  <c:v>38297.599999999999</c:v>
                </c:pt>
                <c:pt idx="26">
                  <c:v>38297.599999999999</c:v>
                </c:pt>
                <c:pt idx="27">
                  <c:v>38297.599999999999</c:v>
                </c:pt>
                <c:pt idx="28">
                  <c:v>38297.599999999999</c:v>
                </c:pt>
                <c:pt idx="29">
                  <c:v>38297.599999999999</c:v>
                </c:pt>
                <c:pt idx="30">
                  <c:v>38297.599999999999</c:v>
                </c:pt>
                <c:pt idx="31">
                  <c:v>38297.599999999999</c:v>
                </c:pt>
                <c:pt idx="32">
                  <c:v>38297.599999999999</c:v>
                </c:pt>
                <c:pt idx="33">
                  <c:v>38297.599999999999</c:v>
                </c:pt>
                <c:pt idx="34">
                  <c:v>38297.599999999999</c:v>
                </c:pt>
                <c:pt idx="35">
                  <c:v>38297.599999999999</c:v>
                </c:pt>
                <c:pt idx="36">
                  <c:v>38297.599999999999</c:v>
                </c:pt>
                <c:pt idx="37">
                  <c:v>38297.599999999999</c:v>
                </c:pt>
                <c:pt idx="38">
                  <c:v>38297.599999999999</c:v>
                </c:pt>
                <c:pt idx="39">
                  <c:v>38297.599999999999</c:v>
                </c:pt>
                <c:pt idx="40">
                  <c:v>38297.599999999999</c:v>
                </c:pt>
                <c:pt idx="41">
                  <c:v>38297.599999999999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49-4AC4-A5E8-7DE23A782771}"/>
            </c:ext>
          </c:extLst>
        </c:ser>
        <c:ser>
          <c:idx val="9"/>
          <c:order val="9"/>
          <c:tx>
            <c:strRef>
              <c:f>Graph!$E$57</c:f>
              <c:strCache>
                <c:ptCount val="1"/>
                <c:pt idx="0">
                  <c:v>80% MFMA Binary32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Graph!$A$58:$A$99</c:f>
              <c:numCache>
                <c:formatCode>General</c:formatCode>
                <c:ptCount val="42"/>
                <c:pt idx="0">
                  <c:v>1.953125E-3</c:v>
                </c:pt>
                <c:pt idx="1">
                  <c:v>3.90625E-3</c:v>
                </c:pt>
                <c:pt idx="2">
                  <c:v>7.8125E-3</c:v>
                </c:pt>
                <c:pt idx="3">
                  <c:v>1.5625E-2</c:v>
                </c:pt>
                <c:pt idx="4">
                  <c:v>3.125E-2</c:v>
                </c:pt>
                <c:pt idx="5">
                  <c:v>6.25E-2</c:v>
                </c:pt>
                <c:pt idx="6">
                  <c:v>0.125</c:v>
                </c:pt>
                <c:pt idx="7">
                  <c:v>0.25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16</c:v>
                </c:pt>
                <c:pt idx="14">
                  <c:v>32</c:v>
                </c:pt>
                <c:pt idx="15">
                  <c:v>64</c:v>
                </c:pt>
                <c:pt idx="16">
                  <c:v>128</c:v>
                </c:pt>
                <c:pt idx="17">
                  <c:v>256</c:v>
                </c:pt>
                <c:pt idx="18">
                  <c:v>512</c:v>
                </c:pt>
                <c:pt idx="19">
                  <c:v>1024</c:v>
                </c:pt>
                <c:pt idx="20">
                  <c:v>2048</c:v>
                </c:pt>
                <c:pt idx="21">
                  <c:v>4096</c:v>
                </c:pt>
                <c:pt idx="22">
                  <c:v>8192</c:v>
                </c:pt>
                <c:pt idx="23">
                  <c:v>16384</c:v>
                </c:pt>
                <c:pt idx="24">
                  <c:v>32768</c:v>
                </c:pt>
                <c:pt idx="25">
                  <c:v>65536</c:v>
                </c:pt>
                <c:pt idx="26">
                  <c:v>131072</c:v>
                </c:pt>
                <c:pt idx="27">
                  <c:v>262144</c:v>
                </c:pt>
                <c:pt idx="28">
                  <c:v>524288</c:v>
                </c:pt>
                <c:pt idx="29">
                  <c:v>1048576</c:v>
                </c:pt>
                <c:pt idx="30">
                  <c:v>2097152</c:v>
                </c:pt>
                <c:pt idx="31">
                  <c:v>4194304</c:v>
                </c:pt>
                <c:pt idx="32">
                  <c:v>8388608</c:v>
                </c:pt>
                <c:pt idx="33">
                  <c:v>16777216</c:v>
                </c:pt>
                <c:pt idx="34">
                  <c:v>33554432</c:v>
                </c:pt>
                <c:pt idx="35">
                  <c:v>67108864</c:v>
                </c:pt>
                <c:pt idx="36">
                  <c:v>134217728</c:v>
                </c:pt>
                <c:pt idx="37">
                  <c:v>268435456</c:v>
                </c:pt>
                <c:pt idx="38">
                  <c:v>536870912</c:v>
                </c:pt>
                <c:pt idx="39">
                  <c:v>1073741824</c:v>
                </c:pt>
                <c:pt idx="40">
                  <c:v>2147483648</c:v>
                </c:pt>
                <c:pt idx="41">
                  <c:v>4294967296</c:v>
                </c:pt>
              </c:numCache>
            </c:numRef>
          </c:xVal>
          <c:yVal>
            <c:numRef>
              <c:f>Graph!$E$58:$E$99</c:f>
              <c:numCache>
                <c:formatCode>General</c:formatCode>
                <c:ptCount val="42"/>
                <c:pt idx="0">
                  <c:v>2.6843545600000001</c:v>
                </c:pt>
                <c:pt idx="1">
                  <c:v>5.3687091200000001</c:v>
                </c:pt>
                <c:pt idx="2">
                  <c:v>10.73741824</c:v>
                </c:pt>
                <c:pt idx="3">
                  <c:v>21.47483648</c:v>
                </c:pt>
                <c:pt idx="4">
                  <c:v>42.949672960000001</c:v>
                </c:pt>
                <c:pt idx="5">
                  <c:v>85.899345920000002</c:v>
                </c:pt>
                <c:pt idx="6">
                  <c:v>171.79869184</c:v>
                </c:pt>
                <c:pt idx="7">
                  <c:v>343.59738368000001</c:v>
                </c:pt>
                <c:pt idx="8">
                  <c:v>687.19476736000001</c:v>
                </c:pt>
                <c:pt idx="9">
                  <c:v>1374.38953472</c:v>
                </c:pt>
                <c:pt idx="10">
                  <c:v>2748.7790694400001</c:v>
                </c:pt>
                <c:pt idx="11">
                  <c:v>5497.5581388800001</c:v>
                </c:pt>
                <c:pt idx="12">
                  <c:v>10995.11627776</c:v>
                </c:pt>
                <c:pt idx="13">
                  <c:v>21990.23255552</c:v>
                </c:pt>
                <c:pt idx="14">
                  <c:v>38297.599999999999</c:v>
                </c:pt>
                <c:pt idx="15">
                  <c:v>38297.599999999999</c:v>
                </c:pt>
                <c:pt idx="16">
                  <c:v>38297.599999999999</c:v>
                </c:pt>
                <c:pt idx="17">
                  <c:v>38297.599999999999</c:v>
                </c:pt>
                <c:pt idx="18">
                  <c:v>38297.599999999999</c:v>
                </c:pt>
                <c:pt idx="19">
                  <c:v>38297.599999999999</c:v>
                </c:pt>
                <c:pt idx="20">
                  <c:v>38297.599999999999</c:v>
                </c:pt>
                <c:pt idx="21">
                  <c:v>38297.599999999999</c:v>
                </c:pt>
                <c:pt idx="22">
                  <c:v>38297.599999999999</c:v>
                </c:pt>
                <c:pt idx="23">
                  <c:v>38297.599999999999</c:v>
                </c:pt>
                <c:pt idx="24">
                  <c:v>38297.599999999999</c:v>
                </c:pt>
                <c:pt idx="25">
                  <c:v>38297.599999999999</c:v>
                </c:pt>
                <c:pt idx="26">
                  <c:v>38297.599999999999</c:v>
                </c:pt>
                <c:pt idx="27">
                  <c:v>38297.599999999999</c:v>
                </c:pt>
                <c:pt idx="28">
                  <c:v>38297.599999999999</c:v>
                </c:pt>
                <c:pt idx="29">
                  <c:v>38297.599999999999</c:v>
                </c:pt>
                <c:pt idx="30">
                  <c:v>38297.599999999999</c:v>
                </c:pt>
                <c:pt idx="31">
                  <c:v>38297.599999999999</c:v>
                </c:pt>
                <c:pt idx="32">
                  <c:v>38297.599999999999</c:v>
                </c:pt>
                <c:pt idx="33">
                  <c:v>38297.599999999999</c:v>
                </c:pt>
                <c:pt idx="34">
                  <c:v>38297.599999999999</c:v>
                </c:pt>
                <c:pt idx="35">
                  <c:v>38297.599999999999</c:v>
                </c:pt>
                <c:pt idx="36">
                  <c:v>38297.599999999999</c:v>
                </c:pt>
                <c:pt idx="37">
                  <c:v>38297.599999999999</c:v>
                </c:pt>
                <c:pt idx="38">
                  <c:v>38297.599999999999</c:v>
                </c:pt>
                <c:pt idx="39">
                  <c:v>38297.599999999999</c:v>
                </c:pt>
                <c:pt idx="40">
                  <c:v>38297.599999999999</c:v>
                </c:pt>
                <c:pt idx="41">
                  <c:v>38297.599999999999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49-4AC4-A5E8-7DE23A782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121967"/>
        <c:axId val="1900122799"/>
      </c:scatterChart>
      <c:valAx>
        <c:axId val="19001219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Flop/octet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122799"/>
        <c:crosses val="autoZero"/>
        <c:crossBetween val="midCat"/>
      </c:valAx>
      <c:valAx>
        <c:axId val="19001227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Peak GFlop/s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12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0</xdr:row>
      <xdr:rowOff>0</xdr:rowOff>
    </xdr:from>
    <xdr:to>
      <xdr:col>15</xdr:col>
      <xdr:colOff>752474</xdr:colOff>
      <xdr:row>37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zoomScaleNormal="100" workbookViewId="0">
      <selection activeCell="F12" sqref="F12"/>
    </sheetView>
  </sheetViews>
  <sheetFormatPr baseColWidth="10" defaultRowHeight="15" x14ac:dyDescent="0.25"/>
  <cols>
    <col min="1" max="1" width="27.140625" bestFit="1" customWidth="1"/>
    <col min="2" max="3" width="18.28515625" bestFit="1" customWidth="1"/>
    <col min="4" max="5" width="18.85546875" bestFit="1" customWidth="1"/>
  </cols>
  <sheetData>
    <row r="1" spans="1:6" x14ac:dyDescent="0.25">
      <c r="A1" s="1"/>
      <c r="B1" s="21" t="s">
        <v>5</v>
      </c>
      <c r="C1" s="21"/>
      <c r="D1" s="21"/>
      <c r="E1" s="21"/>
    </row>
    <row r="2" spans="1:6" x14ac:dyDescent="0.25">
      <c r="A2" s="4" t="s">
        <v>2</v>
      </c>
      <c r="B2" s="13">
        <v>1600</v>
      </c>
      <c r="C2" s="13"/>
      <c r="D2" s="13"/>
      <c r="E2" s="13"/>
      <c r="F2" t="s">
        <v>7</v>
      </c>
    </row>
    <row r="3" spans="1:6" x14ac:dyDescent="0.25">
      <c r="A3" s="4" t="s">
        <v>3</v>
      </c>
      <c r="B3" s="13">
        <v>1.7</v>
      </c>
      <c r="C3" s="13"/>
      <c r="D3" s="13"/>
      <c r="E3" s="13"/>
    </row>
    <row r="4" spans="1:6" x14ac:dyDescent="0.25">
      <c r="A4" s="4" t="s">
        <v>4</v>
      </c>
      <c r="B4" s="13">
        <v>110</v>
      </c>
      <c r="C4" s="13"/>
      <c r="D4" s="13"/>
      <c r="E4" s="13"/>
    </row>
    <row r="5" spans="1:6" x14ac:dyDescent="0.25">
      <c r="A5" s="4" t="s">
        <v>47</v>
      </c>
      <c r="B5" s="13">
        <v>64</v>
      </c>
      <c r="C5" s="13"/>
      <c r="D5" s="13"/>
      <c r="E5" s="13"/>
    </row>
    <row r="6" spans="1:6" x14ac:dyDescent="0.25">
      <c r="A6" s="4"/>
      <c r="B6" s="20" t="s">
        <v>64</v>
      </c>
      <c r="C6" s="20"/>
      <c r="D6" s="20" t="s">
        <v>65</v>
      </c>
      <c r="E6" s="20"/>
    </row>
    <row r="7" spans="1:6" x14ac:dyDescent="0.25">
      <c r="A7" s="4"/>
      <c r="B7" s="2" t="s">
        <v>0</v>
      </c>
      <c r="C7" s="2" t="s">
        <v>1</v>
      </c>
      <c r="D7" s="2" t="s">
        <v>0</v>
      </c>
      <c r="E7" s="2" t="s">
        <v>1</v>
      </c>
    </row>
    <row r="8" spans="1:6" x14ac:dyDescent="0.25">
      <c r="A8" s="4" t="s">
        <v>48</v>
      </c>
      <c r="B8" s="2">
        <v>128</v>
      </c>
      <c r="C8" s="2">
        <v>128</v>
      </c>
      <c r="D8" s="2">
        <v>256</v>
      </c>
      <c r="E8" s="2">
        <v>256</v>
      </c>
      <c r="F8" t="s">
        <v>63</v>
      </c>
    </row>
    <row r="9" spans="1:6" x14ac:dyDescent="0.25">
      <c r="A9" s="4" t="s">
        <v>49</v>
      </c>
      <c r="B9" s="2">
        <f>B8*$B$4</f>
        <v>14080</v>
      </c>
      <c r="C9" s="2">
        <f t="shared" ref="C9:E9" si="0">C8*$B$4</f>
        <v>14080</v>
      </c>
      <c r="D9" s="2">
        <f t="shared" si="0"/>
        <v>28160</v>
      </c>
      <c r="E9" s="2">
        <f t="shared" si="0"/>
        <v>28160</v>
      </c>
    </row>
    <row r="10" spans="1:6" x14ac:dyDescent="0.25">
      <c r="A10" s="4" t="s">
        <v>6</v>
      </c>
      <c r="B10" s="2">
        <f>B9*$B$3*1000000000</f>
        <v>23936000000000</v>
      </c>
      <c r="C10" s="2">
        <f t="shared" ref="C10:E10" si="1">C9*$B$3*1000000000</f>
        <v>23936000000000</v>
      </c>
      <c r="D10" s="2">
        <f t="shared" si="1"/>
        <v>47872000000000</v>
      </c>
      <c r="E10" s="2">
        <f t="shared" si="1"/>
        <v>47872000000000</v>
      </c>
      <c r="F10" t="s">
        <v>8</v>
      </c>
    </row>
    <row r="11" spans="1:6" x14ac:dyDescent="0.25">
      <c r="A11" s="8" t="s">
        <v>68</v>
      </c>
      <c r="B11" s="19" t="s">
        <v>66</v>
      </c>
      <c r="C11" s="19"/>
      <c r="D11" s="19" t="s">
        <v>67</v>
      </c>
      <c r="E11" s="19"/>
    </row>
    <row r="12" spans="1:6" x14ac:dyDescent="0.25">
      <c r="A12" s="8"/>
      <c r="B12" s="2" t="s">
        <v>75</v>
      </c>
      <c r="C12" s="2" t="s">
        <v>70</v>
      </c>
      <c r="D12" s="2" t="s">
        <v>76</v>
      </c>
      <c r="E12" s="2" t="s">
        <v>77</v>
      </c>
    </row>
    <row r="13" spans="1:6" x14ac:dyDescent="0.25">
      <c r="A13" s="2">
        <f>1/512</f>
        <v>1.953125E-3</v>
      </c>
      <c r="B13" s="1">
        <f>MIN($A13*$B$2*1024^3,B$10)/1000000000</f>
        <v>3.3554431999999998</v>
      </c>
      <c r="C13" s="1">
        <f>MIN($A13*$B$2*1024^3,C$10)/1000000000</f>
        <v>3.3554431999999998</v>
      </c>
      <c r="D13" s="1">
        <f t="shared" ref="D13:E28" si="2">MIN($A13*$B$2*1024^3,D$10)/1000000000</f>
        <v>3.3554431999999998</v>
      </c>
      <c r="E13" s="1">
        <f t="shared" si="2"/>
        <v>3.3554431999999998</v>
      </c>
    </row>
    <row r="14" spans="1:6" x14ac:dyDescent="0.25">
      <c r="A14" s="2">
        <f>A13*2</f>
        <v>3.90625E-3</v>
      </c>
      <c r="B14" s="1">
        <f>MIN($A14*$B$2*1024^3,B$10)/1000000000</f>
        <v>6.7108863999999997</v>
      </c>
      <c r="C14" s="1">
        <f>MIN($A14*$B$2*1024^3,C$10)/1000000000</f>
        <v>6.7108863999999997</v>
      </c>
      <c r="D14" s="1">
        <f t="shared" si="2"/>
        <v>6.7108863999999997</v>
      </c>
      <c r="E14" s="1">
        <f t="shared" si="2"/>
        <v>6.7108863999999997</v>
      </c>
    </row>
    <row r="15" spans="1:6" x14ac:dyDescent="0.25">
      <c r="A15" s="2">
        <f t="shared" ref="A15:A29" si="3">A14*2</f>
        <v>7.8125E-3</v>
      </c>
      <c r="B15" s="1">
        <f>MIN($A15*$B$2*1024^3,B$10)/1000000000</f>
        <v>13.421772799999999</v>
      </c>
      <c r="C15" s="1">
        <f>MIN($A15*$B$2*1024^3,C$10)/1000000000</f>
        <v>13.421772799999999</v>
      </c>
      <c r="D15" s="1">
        <f t="shared" si="2"/>
        <v>13.421772799999999</v>
      </c>
      <c r="E15" s="1">
        <f t="shared" si="2"/>
        <v>13.421772799999999</v>
      </c>
    </row>
    <row r="16" spans="1:6" x14ac:dyDescent="0.25">
      <c r="A16" s="2">
        <f t="shared" si="3"/>
        <v>1.5625E-2</v>
      </c>
      <c r="B16" s="1">
        <f>MIN($A16*$B$2*1024^3,B$10)/1000000000</f>
        <v>26.843545599999999</v>
      </c>
      <c r="C16" s="1">
        <f>MIN($A16*$B$2*1024^3,C$10)/1000000000</f>
        <v>26.843545599999999</v>
      </c>
      <c r="D16" s="1">
        <f t="shared" si="2"/>
        <v>26.843545599999999</v>
      </c>
      <c r="E16" s="1">
        <f t="shared" si="2"/>
        <v>26.843545599999999</v>
      </c>
    </row>
    <row r="17" spans="1:5" x14ac:dyDescent="0.25">
      <c r="A17" s="2">
        <f t="shared" si="3"/>
        <v>3.125E-2</v>
      </c>
      <c r="B17" s="1">
        <f>MIN($A17*$B$2*1024^3,B$10)/1000000000</f>
        <v>53.687091199999998</v>
      </c>
      <c r="C17" s="1">
        <f>MIN($A17*$B$2*1024^3,C$10)/1000000000</f>
        <v>53.687091199999998</v>
      </c>
      <c r="D17" s="1">
        <f t="shared" si="2"/>
        <v>53.687091199999998</v>
      </c>
      <c r="E17" s="1">
        <f t="shared" si="2"/>
        <v>53.687091199999998</v>
      </c>
    </row>
    <row r="18" spans="1:5" x14ac:dyDescent="0.25">
      <c r="A18" s="2">
        <f t="shared" si="3"/>
        <v>6.25E-2</v>
      </c>
      <c r="B18" s="1">
        <f>MIN($A18*$B$2*1024^3,B$10)/1000000000</f>
        <v>107.3741824</v>
      </c>
      <c r="C18" s="1">
        <f>MIN($A18*$B$2*1024^3,C$10)/1000000000</f>
        <v>107.3741824</v>
      </c>
      <c r="D18" s="1">
        <f t="shared" si="2"/>
        <v>107.3741824</v>
      </c>
      <c r="E18" s="1">
        <f t="shared" si="2"/>
        <v>107.3741824</v>
      </c>
    </row>
    <row r="19" spans="1:5" x14ac:dyDescent="0.25">
      <c r="A19" s="2">
        <f t="shared" si="3"/>
        <v>0.125</v>
      </c>
      <c r="B19" s="1">
        <f>MIN($A19*$B$2*1024^3,B$10)/1000000000</f>
        <v>214.74836479999999</v>
      </c>
      <c r="C19" s="1">
        <f>MIN($A19*$B$2*1024^3,C$10)/1000000000</f>
        <v>214.74836479999999</v>
      </c>
      <c r="D19" s="1">
        <f t="shared" si="2"/>
        <v>214.74836479999999</v>
      </c>
      <c r="E19" s="1">
        <f t="shared" si="2"/>
        <v>214.74836479999999</v>
      </c>
    </row>
    <row r="20" spans="1:5" x14ac:dyDescent="0.25">
      <c r="A20" s="2">
        <f t="shared" si="3"/>
        <v>0.25</v>
      </c>
      <c r="B20" s="1">
        <f>MIN($A20*$B$2*1024^3,B$10)/1000000000</f>
        <v>429.49672959999998</v>
      </c>
      <c r="C20" s="1">
        <f>MIN($A20*$B$2*1024^3,C$10)/1000000000</f>
        <v>429.49672959999998</v>
      </c>
      <c r="D20" s="1">
        <f t="shared" si="2"/>
        <v>429.49672959999998</v>
      </c>
      <c r="E20" s="1">
        <f t="shared" si="2"/>
        <v>429.49672959999998</v>
      </c>
    </row>
    <row r="21" spans="1:5" x14ac:dyDescent="0.25">
      <c r="A21" s="2">
        <f t="shared" si="3"/>
        <v>0.5</v>
      </c>
      <c r="B21" s="1">
        <f>MIN($A21*$B$2*1024^3,B$10)/1000000000</f>
        <v>858.99345919999996</v>
      </c>
      <c r="C21" s="1">
        <f>MIN($A21*$B$2*1024^3,C$10)/1000000000</f>
        <v>858.99345919999996</v>
      </c>
      <c r="D21" s="1">
        <f t="shared" si="2"/>
        <v>858.99345919999996</v>
      </c>
      <c r="E21" s="1">
        <f t="shared" si="2"/>
        <v>858.99345919999996</v>
      </c>
    </row>
    <row r="22" spans="1:5" x14ac:dyDescent="0.25">
      <c r="A22" s="2">
        <f t="shared" si="3"/>
        <v>1</v>
      </c>
      <c r="B22" s="1">
        <f>MIN($A22*$B$2*1024^3,B$10)/1000000000</f>
        <v>1717.9869183999999</v>
      </c>
      <c r="C22" s="1">
        <f>MIN($A22*$B$2*1024^3,C$10)/1000000000</f>
        <v>1717.9869183999999</v>
      </c>
      <c r="D22" s="1">
        <f t="shared" si="2"/>
        <v>1717.9869183999999</v>
      </c>
      <c r="E22" s="1">
        <f t="shared" si="2"/>
        <v>1717.9869183999999</v>
      </c>
    </row>
    <row r="23" spans="1:5" x14ac:dyDescent="0.25">
      <c r="A23" s="2">
        <f t="shared" si="3"/>
        <v>2</v>
      </c>
      <c r="B23" s="1">
        <f>MIN($A23*$B$2*1024^3,B$10)/1000000000</f>
        <v>3435.9738367999998</v>
      </c>
      <c r="C23" s="1">
        <f>MIN($A23*$B$2*1024^3,C$10)/1000000000</f>
        <v>3435.9738367999998</v>
      </c>
      <c r="D23" s="1">
        <f t="shared" si="2"/>
        <v>3435.9738367999998</v>
      </c>
      <c r="E23" s="1">
        <f t="shared" si="2"/>
        <v>3435.9738367999998</v>
      </c>
    </row>
    <row r="24" spans="1:5" x14ac:dyDescent="0.25">
      <c r="A24" s="2">
        <f t="shared" si="3"/>
        <v>4</v>
      </c>
      <c r="B24" s="1">
        <f>MIN($A24*$B$2*1024^3,B$10)/1000000000</f>
        <v>6871.9476735999997</v>
      </c>
      <c r="C24" s="1">
        <f>MIN($A24*$B$2*1024^3,C$10)/1000000000</f>
        <v>6871.9476735999997</v>
      </c>
      <c r="D24" s="1">
        <f t="shared" si="2"/>
        <v>6871.9476735999997</v>
      </c>
      <c r="E24" s="1">
        <f t="shared" si="2"/>
        <v>6871.9476735999997</v>
      </c>
    </row>
    <row r="25" spans="1:5" x14ac:dyDescent="0.25">
      <c r="A25" s="2">
        <f t="shared" si="3"/>
        <v>8</v>
      </c>
      <c r="B25" s="1">
        <f>MIN($A25*$B$2*1024^3,B$10)/1000000000</f>
        <v>13743.895347199999</v>
      </c>
      <c r="C25" s="1">
        <f>MIN($A25*$B$2*1024^3,C$10)/1000000000</f>
        <v>13743.895347199999</v>
      </c>
      <c r="D25" s="1">
        <f t="shared" si="2"/>
        <v>13743.895347199999</v>
      </c>
      <c r="E25" s="1">
        <f t="shared" si="2"/>
        <v>13743.895347199999</v>
      </c>
    </row>
    <row r="26" spans="1:5" x14ac:dyDescent="0.25">
      <c r="A26" s="2">
        <f t="shared" si="3"/>
        <v>16</v>
      </c>
      <c r="B26" s="1">
        <f>MIN($A26*$B$2*1024^3,B$10)/1000000000</f>
        <v>23936</v>
      </c>
      <c r="C26" s="1">
        <f>MIN($A26*$B$2*1024^3,C$10)/1000000000</f>
        <v>23936</v>
      </c>
      <c r="D26" s="1">
        <f t="shared" si="2"/>
        <v>27487.790694399999</v>
      </c>
      <c r="E26" s="1">
        <f t="shared" si="2"/>
        <v>27487.790694399999</v>
      </c>
    </row>
    <row r="27" spans="1:5" x14ac:dyDescent="0.25">
      <c r="A27" s="2">
        <f t="shared" si="3"/>
        <v>32</v>
      </c>
      <c r="B27" s="1">
        <f>MIN($A27*$B$2*1024^3,B$10)/1000000000</f>
        <v>23936</v>
      </c>
      <c r="C27" s="1">
        <f>MIN($A27*$B$2*1024^3,C$10)/1000000000</f>
        <v>23936</v>
      </c>
      <c r="D27" s="1">
        <f t="shared" si="2"/>
        <v>47872</v>
      </c>
      <c r="E27" s="1">
        <f t="shared" si="2"/>
        <v>47872</v>
      </c>
    </row>
    <row r="28" spans="1:5" x14ac:dyDescent="0.25">
      <c r="A28" s="2">
        <f t="shared" si="3"/>
        <v>64</v>
      </c>
      <c r="B28" s="1">
        <f>MIN($A28*$B$2*1024^3,B$10)/1000000000</f>
        <v>23936</v>
      </c>
      <c r="C28" s="1">
        <f>MIN($A28*$B$2*1024^3,C$10)/1000000000</f>
        <v>23936</v>
      </c>
      <c r="D28" s="1">
        <f t="shared" si="2"/>
        <v>47872</v>
      </c>
      <c r="E28" s="1">
        <f t="shared" si="2"/>
        <v>47872</v>
      </c>
    </row>
    <row r="29" spans="1:5" x14ac:dyDescent="0.25">
      <c r="A29" s="2">
        <f t="shared" si="3"/>
        <v>128</v>
      </c>
      <c r="B29" s="1">
        <f>MIN($A29*$B$2*1024^3,B$10)/1000000000</f>
        <v>23936</v>
      </c>
      <c r="C29" s="1">
        <f>MIN($A29*$B$2*1024^3,C$10)/1000000000</f>
        <v>23936</v>
      </c>
      <c r="D29" s="1">
        <f t="shared" ref="D29:E54" si="4">MIN($A29*$B$2*1024^3,D$10)/1000000000</f>
        <v>47872</v>
      </c>
      <c r="E29" s="1">
        <f t="shared" si="4"/>
        <v>47872</v>
      </c>
    </row>
    <row r="30" spans="1:5" x14ac:dyDescent="0.25">
      <c r="A30" s="2">
        <f t="shared" ref="A30:A32" si="5">A29*2</f>
        <v>256</v>
      </c>
      <c r="B30" s="1">
        <f>MIN($A30*$B$2*1024^3,B$10)/1000000000</f>
        <v>23936</v>
      </c>
      <c r="C30" s="1">
        <f>MIN($A30*$B$2*1024^3,C$10)/1000000000</f>
        <v>23936</v>
      </c>
      <c r="D30" s="1">
        <f t="shared" si="4"/>
        <v>47872</v>
      </c>
      <c r="E30" s="1">
        <f t="shared" si="4"/>
        <v>47872</v>
      </c>
    </row>
    <row r="31" spans="1:5" x14ac:dyDescent="0.25">
      <c r="A31" s="2">
        <f t="shared" si="5"/>
        <v>512</v>
      </c>
      <c r="B31" s="1">
        <f>MIN($A31*$B$2*1024^3,B$10)/1000000000</f>
        <v>23936</v>
      </c>
      <c r="C31" s="1">
        <f>MIN($A31*$B$2*1024^3,C$10)/1000000000</f>
        <v>23936</v>
      </c>
      <c r="D31" s="1">
        <f t="shared" si="4"/>
        <v>47872</v>
      </c>
      <c r="E31" s="1">
        <f t="shared" si="4"/>
        <v>47872</v>
      </c>
    </row>
    <row r="32" spans="1:5" x14ac:dyDescent="0.25">
      <c r="A32" s="2">
        <f t="shared" si="5"/>
        <v>1024</v>
      </c>
      <c r="B32" s="1">
        <f>MIN($A32*$B$2*1024^3,B$10)/1000000000</f>
        <v>23936</v>
      </c>
      <c r="C32" s="1">
        <f>MIN($A32*$B$2*1024^3,C$10)/1000000000</f>
        <v>23936</v>
      </c>
      <c r="D32" s="1">
        <f t="shared" si="4"/>
        <v>47872</v>
      </c>
      <c r="E32" s="1">
        <f t="shared" si="4"/>
        <v>47872</v>
      </c>
    </row>
    <row r="33" spans="1:5" x14ac:dyDescent="0.25">
      <c r="A33" s="2">
        <f>A32*2</f>
        <v>2048</v>
      </c>
      <c r="B33" s="1">
        <f>MIN($A33*$B$2*1024^3,B$10)/1000000000</f>
        <v>23936</v>
      </c>
      <c r="C33" s="1">
        <f>MIN($A33*$B$2*1024^3,C$10)/1000000000</f>
        <v>23936</v>
      </c>
      <c r="D33" s="1">
        <f t="shared" si="4"/>
        <v>47872</v>
      </c>
      <c r="E33" s="1">
        <f t="shared" si="4"/>
        <v>47872</v>
      </c>
    </row>
    <row r="34" spans="1:5" x14ac:dyDescent="0.25">
      <c r="A34" s="2">
        <f t="shared" ref="A34:A38" si="6">A33*2</f>
        <v>4096</v>
      </c>
      <c r="B34" s="1">
        <f>MIN($A34*$B$2*1024^3,B$10)/1000000000</f>
        <v>23936</v>
      </c>
      <c r="C34" s="1">
        <f>MIN($A34*$B$2*1024^3,C$10)/1000000000</f>
        <v>23936</v>
      </c>
      <c r="D34" s="1">
        <f t="shared" si="4"/>
        <v>47872</v>
      </c>
      <c r="E34" s="1">
        <f t="shared" si="4"/>
        <v>47872</v>
      </c>
    </row>
    <row r="35" spans="1:5" x14ac:dyDescent="0.25">
      <c r="A35" s="2">
        <f t="shared" si="6"/>
        <v>8192</v>
      </c>
      <c r="B35" s="1">
        <f>MIN($A35*$B$2*1024^3,B$10)/1000000000</f>
        <v>23936</v>
      </c>
      <c r="C35" s="1">
        <f>MIN($A35*$B$2*1024^3,C$10)/1000000000</f>
        <v>23936</v>
      </c>
      <c r="D35" s="1">
        <f t="shared" si="4"/>
        <v>47872</v>
      </c>
      <c r="E35" s="1">
        <f t="shared" si="4"/>
        <v>47872</v>
      </c>
    </row>
    <row r="36" spans="1:5" x14ac:dyDescent="0.25">
      <c r="A36" s="2">
        <f t="shared" si="6"/>
        <v>16384</v>
      </c>
      <c r="B36" s="1">
        <f>MIN($A36*$B$2*1024^3,B$10)/1000000000</f>
        <v>23936</v>
      </c>
      <c r="C36" s="1">
        <f>MIN($A36*$B$2*1024^3,C$10)/1000000000</f>
        <v>23936</v>
      </c>
      <c r="D36" s="1">
        <f t="shared" si="4"/>
        <v>47872</v>
      </c>
      <c r="E36" s="1">
        <f t="shared" si="4"/>
        <v>47872</v>
      </c>
    </row>
    <row r="37" spans="1:5" x14ac:dyDescent="0.25">
      <c r="A37" s="2">
        <f t="shared" si="6"/>
        <v>32768</v>
      </c>
      <c r="B37" s="1">
        <f>MIN($A37*$B$2*1024^3,B$10)/1000000000</f>
        <v>23936</v>
      </c>
      <c r="C37" s="1">
        <f>MIN($A37*$B$2*1024^3,C$10)/1000000000</f>
        <v>23936</v>
      </c>
      <c r="D37" s="1">
        <f t="shared" si="4"/>
        <v>47872</v>
      </c>
      <c r="E37" s="1">
        <f t="shared" si="4"/>
        <v>47872</v>
      </c>
    </row>
    <row r="38" spans="1:5" x14ac:dyDescent="0.25">
      <c r="A38" s="2">
        <f t="shared" si="6"/>
        <v>65536</v>
      </c>
      <c r="B38" s="1">
        <f>MIN($A38*$B$2*1024^3,B$10)/1000000000</f>
        <v>23936</v>
      </c>
      <c r="C38" s="1">
        <f>MIN($A38*$B$2*1024^3,C$10)/1000000000</f>
        <v>23936</v>
      </c>
      <c r="D38" s="1">
        <f t="shared" si="4"/>
        <v>47872</v>
      </c>
      <c r="E38" s="1">
        <f t="shared" si="4"/>
        <v>47872</v>
      </c>
    </row>
    <row r="39" spans="1:5" x14ac:dyDescent="0.25">
      <c r="A39" s="2">
        <f t="shared" ref="A39:A45" si="7">A38*2</f>
        <v>131072</v>
      </c>
      <c r="B39" s="1">
        <f>MIN($A39*$B$2*1024^3,B$10)/1000000000</f>
        <v>23936</v>
      </c>
      <c r="C39" s="1">
        <f>MIN($A39*$B$2*1024^3,C$10)/1000000000</f>
        <v>23936</v>
      </c>
      <c r="D39" s="1">
        <f t="shared" si="4"/>
        <v>47872</v>
      </c>
      <c r="E39" s="1">
        <f t="shared" si="4"/>
        <v>47872</v>
      </c>
    </row>
    <row r="40" spans="1:5" x14ac:dyDescent="0.25">
      <c r="A40" s="2">
        <f t="shared" si="7"/>
        <v>262144</v>
      </c>
      <c r="B40" s="1">
        <f>MIN($A40*$B$2*1024^3,B$10)/1000000000</f>
        <v>23936</v>
      </c>
      <c r="C40" s="1">
        <f>MIN($A40*$B$2*1024^3,C$10)/1000000000</f>
        <v>23936</v>
      </c>
      <c r="D40" s="1">
        <f t="shared" si="4"/>
        <v>47872</v>
      </c>
      <c r="E40" s="1">
        <f t="shared" si="4"/>
        <v>47872</v>
      </c>
    </row>
    <row r="41" spans="1:5" x14ac:dyDescent="0.25">
      <c r="A41" s="2">
        <f t="shared" si="7"/>
        <v>524288</v>
      </c>
      <c r="B41" s="1">
        <f>MIN($A41*$B$2*1024^3,B$10)/1000000000</f>
        <v>23936</v>
      </c>
      <c r="C41" s="1">
        <f>MIN($A41*$B$2*1024^3,C$10)/1000000000</f>
        <v>23936</v>
      </c>
      <c r="D41" s="1">
        <f t="shared" si="4"/>
        <v>47872</v>
      </c>
      <c r="E41" s="1">
        <f t="shared" si="4"/>
        <v>47872</v>
      </c>
    </row>
    <row r="42" spans="1:5" x14ac:dyDescent="0.25">
      <c r="A42" s="2">
        <f t="shared" si="7"/>
        <v>1048576</v>
      </c>
      <c r="B42" s="1">
        <f>MIN($A42*$B$2*1024^3,B$10)/1000000000</f>
        <v>23936</v>
      </c>
      <c r="C42" s="1">
        <f>MIN($A42*$B$2*1024^3,C$10)/1000000000</f>
        <v>23936</v>
      </c>
      <c r="D42" s="1">
        <f t="shared" si="4"/>
        <v>47872</v>
      </c>
      <c r="E42" s="1">
        <f t="shared" si="4"/>
        <v>47872</v>
      </c>
    </row>
    <row r="43" spans="1:5" x14ac:dyDescent="0.25">
      <c r="A43" s="2">
        <f t="shared" si="7"/>
        <v>2097152</v>
      </c>
      <c r="B43" s="1">
        <f>MIN($A43*$B$2*1024^3,B$10)/1000000000</f>
        <v>23936</v>
      </c>
      <c r="C43" s="1">
        <f>MIN($A43*$B$2*1024^3,C$10)/1000000000</f>
        <v>23936</v>
      </c>
      <c r="D43" s="1">
        <f t="shared" si="4"/>
        <v>47872</v>
      </c>
      <c r="E43" s="1">
        <f t="shared" si="4"/>
        <v>47872</v>
      </c>
    </row>
    <row r="44" spans="1:5" x14ac:dyDescent="0.25">
      <c r="A44" s="2">
        <f t="shared" si="7"/>
        <v>4194304</v>
      </c>
      <c r="B44" s="1">
        <f>MIN($A44*$B$2*1024^3,B$10)/1000000000</f>
        <v>23936</v>
      </c>
      <c r="C44" s="1">
        <f>MIN($A44*$B$2*1024^3,C$10)/1000000000</f>
        <v>23936</v>
      </c>
      <c r="D44" s="1">
        <f t="shared" si="4"/>
        <v>47872</v>
      </c>
      <c r="E44" s="1">
        <f t="shared" si="4"/>
        <v>47872</v>
      </c>
    </row>
    <row r="45" spans="1:5" x14ac:dyDescent="0.25">
      <c r="A45" s="2">
        <f t="shared" si="7"/>
        <v>8388608</v>
      </c>
      <c r="B45" s="1">
        <f>MIN($A45*$B$2*1024^3,B$10)/1000000000</f>
        <v>23936</v>
      </c>
      <c r="C45" s="1">
        <f>MIN($A45*$B$2*1024^3,C$10)/1000000000</f>
        <v>23936</v>
      </c>
      <c r="D45" s="1">
        <f t="shared" si="4"/>
        <v>47872</v>
      </c>
      <c r="E45" s="1">
        <f t="shared" si="4"/>
        <v>47872</v>
      </c>
    </row>
    <row r="46" spans="1:5" x14ac:dyDescent="0.25">
      <c r="A46" s="2">
        <f t="shared" ref="A46:A54" si="8">A45*2</f>
        <v>16777216</v>
      </c>
      <c r="B46" s="1">
        <f>MIN($A46*$B$2*1024^3,B$10)/1000000000</f>
        <v>23936</v>
      </c>
      <c r="C46" s="1">
        <f>MIN($A46*$B$2*1024^3,C$10)/1000000000</f>
        <v>23936</v>
      </c>
      <c r="D46" s="1">
        <f t="shared" si="4"/>
        <v>47872</v>
      </c>
      <c r="E46" s="1">
        <f t="shared" si="4"/>
        <v>47872</v>
      </c>
    </row>
    <row r="47" spans="1:5" x14ac:dyDescent="0.25">
      <c r="A47" s="2">
        <f t="shared" si="8"/>
        <v>33554432</v>
      </c>
      <c r="B47" s="1">
        <f>MIN($A47*$B$2*1024^3,B$10)/1000000000</f>
        <v>23936</v>
      </c>
      <c r="C47" s="1">
        <f>MIN($A47*$B$2*1024^3,C$10)/1000000000</f>
        <v>23936</v>
      </c>
      <c r="D47" s="1">
        <f t="shared" si="4"/>
        <v>47872</v>
      </c>
      <c r="E47" s="1">
        <f t="shared" si="4"/>
        <v>47872</v>
      </c>
    </row>
    <row r="48" spans="1:5" x14ac:dyDescent="0.25">
      <c r="A48" s="2">
        <f t="shared" si="8"/>
        <v>67108864</v>
      </c>
      <c r="B48" s="1">
        <f>MIN($A48*$B$2*1024^3,B$10)/1000000000</f>
        <v>23936</v>
      </c>
      <c r="C48" s="1">
        <f>MIN($A48*$B$2*1024^3,C$10)/1000000000</f>
        <v>23936</v>
      </c>
      <c r="D48" s="1">
        <f t="shared" si="4"/>
        <v>47872</v>
      </c>
      <c r="E48" s="1">
        <f t="shared" si="4"/>
        <v>47872</v>
      </c>
    </row>
    <row r="49" spans="1:5" x14ac:dyDescent="0.25">
      <c r="A49" s="2">
        <f t="shared" si="8"/>
        <v>134217728</v>
      </c>
      <c r="B49" s="1">
        <f>MIN($A49*$B$2*1024^3,B$10)/1000000000</f>
        <v>23936</v>
      </c>
      <c r="C49" s="1">
        <f>MIN($A49*$B$2*1024^3,C$10)/1000000000</f>
        <v>23936</v>
      </c>
      <c r="D49" s="1">
        <f t="shared" si="4"/>
        <v>47872</v>
      </c>
      <c r="E49" s="1">
        <f t="shared" si="4"/>
        <v>47872</v>
      </c>
    </row>
    <row r="50" spans="1:5" x14ac:dyDescent="0.25">
      <c r="A50" s="2">
        <f t="shared" si="8"/>
        <v>268435456</v>
      </c>
      <c r="B50" s="1">
        <f>MIN($A50*$B$2*1024^3,B$10)/1000000000</f>
        <v>23936</v>
      </c>
      <c r="C50" s="1">
        <f>MIN($A50*$B$2*1024^3,C$10)/1000000000</f>
        <v>23936</v>
      </c>
      <c r="D50" s="1">
        <f t="shared" si="4"/>
        <v>47872</v>
      </c>
      <c r="E50" s="1">
        <f t="shared" si="4"/>
        <v>47872</v>
      </c>
    </row>
    <row r="51" spans="1:5" x14ac:dyDescent="0.25">
      <c r="A51" s="2">
        <f t="shared" si="8"/>
        <v>536870912</v>
      </c>
      <c r="B51" s="1">
        <f>MIN($A51*$B$2*1024^3,B$10)/1000000000</f>
        <v>23936</v>
      </c>
      <c r="C51" s="1">
        <f>MIN($A51*$B$2*1024^3,C$10)/1000000000</f>
        <v>23936</v>
      </c>
      <c r="D51" s="1">
        <f t="shared" si="4"/>
        <v>47872</v>
      </c>
      <c r="E51" s="1">
        <f t="shared" si="4"/>
        <v>47872</v>
      </c>
    </row>
    <row r="52" spans="1:5" x14ac:dyDescent="0.25">
      <c r="A52" s="2">
        <f t="shared" si="8"/>
        <v>1073741824</v>
      </c>
      <c r="B52" s="1">
        <f>MIN($A52*$B$2*1024^3,B$10)/1000000000</f>
        <v>23936</v>
      </c>
      <c r="C52" s="1">
        <f>MIN($A52*$B$2*1024^3,C$10)/1000000000</f>
        <v>23936</v>
      </c>
      <c r="D52" s="1">
        <f t="shared" si="4"/>
        <v>47872</v>
      </c>
      <c r="E52" s="1">
        <f t="shared" si="4"/>
        <v>47872</v>
      </c>
    </row>
    <row r="53" spans="1:5" x14ac:dyDescent="0.25">
      <c r="A53" s="2">
        <f t="shared" si="8"/>
        <v>2147483648</v>
      </c>
      <c r="B53" s="1">
        <f>MIN($A53*$B$2*1024^3,B$10)/1000000000</f>
        <v>23936</v>
      </c>
      <c r="C53" s="1">
        <f>MIN($A53*$B$2*1024^3,C$10)/1000000000</f>
        <v>23936</v>
      </c>
      <c r="D53" s="1">
        <f t="shared" si="4"/>
        <v>47872</v>
      </c>
      <c r="E53" s="1">
        <f t="shared" si="4"/>
        <v>47872</v>
      </c>
    </row>
    <row r="54" spans="1:5" x14ac:dyDescent="0.25">
      <c r="A54" s="2">
        <f t="shared" si="8"/>
        <v>4294967296</v>
      </c>
      <c r="B54" s="1">
        <f>MIN($A54*$B$2*1024^3,B$10)/1000000000</f>
        <v>23936</v>
      </c>
      <c r="C54" s="1">
        <f>MIN($A54*$B$2*1024^3,C$10)/1000000000</f>
        <v>23936</v>
      </c>
      <c r="D54" s="1">
        <f t="shared" si="4"/>
        <v>47872</v>
      </c>
      <c r="E54" s="1">
        <f t="shared" si="4"/>
        <v>47872</v>
      </c>
    </row>
    <row r="55" spans="1:5" x14ac:dyDescent="0.25">
      <c r="A55" s="2"/>
      <c r="B55" s="16" t="s">
        <v>69</v>
      </c>
      <c r="C55" s="17"/>
      <c r="D55" s="17"/>
      <c r="E55" s="18"/>
    </row>
    <row r="56" spans="1:5" x14ac:dyDescent="0.25">
      <c r="A56" s="8" t="s">
        <v>68</v>
      </c>
      <c r="B56" s="12" t="s">
        <v>66</v>
      </c>
      <c r="C56" s="12"/>
      <c r="D56" s="12" t="s">
        <v>67</v>
      </c>
      <c r="E56" s="12"/>
    </row>
    <row r="57" spans="1:5" x14ac:dyDescent="0.25">
      <c r="A57" s="8"/>
      <c r="B57" s="2" t="s">
        <v>72</v>
      </c>
      <c r="C57" s="2" t="s">
        <v>71</v>
      </c>
      <c r="D57" s="2" t="s">
        <v>73</v>
      </c>
      <c r="E57" s="2" t="s">
        <v>74</v>
      </c>
    </row>
    <row r="58" spans="1:5" x14ac:dyDescent="0.25">
      <c r="A58" s="2">
        <f>1/512</f>
        <v>1.953125E-3</v>
      </c>
      <c r="B58" s="1">
        <f>B13*0.8</f>
        <v>2.6843545600000001</v>
      </c>
      <c r="C58" s="1">
        <f t="shared" ref="C58:E58" si="9">C13*0.8</f>
        <v>2.6843545600000001</v>
      </c>
      <c r="D58" s="1">
        <f t="shared" si="9"/>
        <v>2.6843545600000001</v>
      </c>
      <c r="E58" s="1">
        <f t="shared" si="9"/>
        <v>2.6843545600000001</v>
      </c>
    </row>
    <row r="59" spans="1:5" x14ac:dyDescent="0.25">
      <c r="A59" s="2">
        <f>A58*2</f>
        <v>3.90625E-3</v>
      </c>
      <c r="B59" s="1">
        <f t="shared" ref="B59:E59" si="10">B14*0.8</f>
        <v>5.3687091200000001</v>
      </c>
      <c r="C59" s="1">
        <f t="shared" si="10"/>
        <v>5.3687091200000001</v>
      </c>
      <c r="D59" s="1">
        <f t="shared" si="10"/>
        <v>5.3687091200000001</v>
      </c>
      <c r="E59" s="1">
        <f t="shared" si="10"/>
        <v>5.3687091200000001</v>
      </c>
    </row>
    <row r="60" spans="1:5" x14ac:dyDescent="0.25">
      <c r="A60" s="2">
        <f t="shared" ref="A60:A77" si="11">A59*2</f>
        <v>7.8125E-3</v>
      </c>
      <c r="B60" s="1">
        <f t="shared" ref="B60:E60" si="12">B15*0.8</f>
        <v>10.73741824</v>
      </c>
      <c r="C60" s="1">
        <f t="shared" si="12"/>
        <v>10.73741824</v>
      </c>
      <c r="D60" s="1">
        <f t="shared" si="12"/>
        <v>10.73741824</v>
      </c>
      <c r="E60" s="1">
        <f t="shared" si="12"/>
        <v>10.73741824</v>
      </c>
    </row>
    <row r="61" spans="1:5" x14ac:dyDescent="0.25">
      <c r="A61" s="2">
        <f t="shared" si="11"/>
        <v>1.5625E-2</v>
      </c>
      <c r="B61" s="1">
        <f t="shared" ref="B61:E61" si="13">B16*0.8</f>
        <v>21.47483648</v>
      </c>
      <c r="C61" s="1">
        <f t="shared" si="13"/>
        <v>21.47483648</v>
      </c>
      <c r="D61" s="1">
        <f t="shared" si="13"/>
        <v>21.47483648</v>
      </c>
      <c r="E61" s="1">
        <f t="shared" si="13"/>
        <v>21.47483648</v>
      </c>
    </row>
    <row r="62" spans="1:5" x14ac:dyDescent="0.25">
      <c r="A62" s="2">
        <f t="shared" si="11"/>
        <v>3.125E-2</v>
      </c>
      <c r="B62" s="1">
        <f t="shared" ref="B62:E62" si="14">B17*0.8</f>
        <v>42.949672960000001</v>
      </c>
      <c r="C62" s="1">
        <f t="shared" si="14"/>
        <v>42.949672960000001</v>
      </c>
      <c r="D62" s="1">
        <f t="shared" si="14"/>
        <v>42.949672960000001</v>
      </c>
      <c r="E62" s="1">
        <f t="shared" si="14"/>
        <v>42.949672960000001</v>
      </c>
    </row>
    <row r="63" spans="1:5" x14ac:dyDescent="0.25">
      <c r="A63" s="2">
        <f t="shared" si="11"/>
        <v>6.25E-2</v>
      </c>
      <c r="B63" s="1">
        <f t="shared" ref="B63:E63" si="15">B18*0.8</f>
        <v>85.899345920000002</v>
      </c>
      <c r="C63" s="1">
        <f t="shared" si="15"/>
        <v>85.899345920000002</v>
      </c>
      <c r="D63" s="1">
        <f t="shared" si="15"/>
        <v>85.899345920000002</v>
      </c>
      <c r="E63" s="1">
        <f t="shared" si="15"/>
        <v>85.899345920000002</v>
      </c>
    </row>
    <row r="64" spans="1:5" x14ac:dyDescent="0.25">
      <c r="A64" s="2">
        <f t="shared" si="11"/>
        <v>0.125</v>
      </c>
      <c r="B64" s="1">
        <f t="shared" ref="B64:E64" si="16">B19*0.8</f>
        <v>171.79869184</v>
      </c>
      <c r="C64" s="1">
        <f t="shared" si="16"/>
        <v>171.79869184</v>
      </c>
      <c r="D64" s="1">
        <f t="shared" si="16"/>
        <v>171.79869184</v>
      </c>
      <c r="E64" s="1">
        <f t="shared" si="16"/>
        <v>171.79869184</v>
      </c>
    </row>
    <row r="65" spans="1:5" x14ac:dyDescent="0.25">
      <c r="A65" s="2">
        <f t="shared" si="11"/>
        <v>0.25</v>
      </c>
      <c r="B65" s="1">
        <f t="shared" ref="B65:E65" si="17">B20*0.8</f>
        <v>343.59738368000001</v>
      </c>
      <c r="C65" s="1">
        <f t="shared" si="17"/>
        <v>343.59738368000001</v>
      </c>
      <c r="D65" s="1">
        <f t="shared" si="17"/>
        <v>343.59738368000001</v>
      </c>
      <c r="E65" s="1">
        <f t="shared" si="17"/>
        <v>343.59738368000001</v>
      </c>
    </row>
    <row r="66" spans="1:5" x14ac:dyDescent="0.25">
      <c r="A66" s="2">
        <f t="shared" si="11"/>
        <v>0.5</v>
      </c>
      <c r="B66" s="1">
        <f t="shared" ref="B66:E66" si="18">B21*0.8</f>
        <v>687.19476736000001</v>
      </c>
      <c r="C66" s="1">
        <f t="shared" si="18"/>
        <v>687.19476736000001</v>
      </c>
      <c r="D66" s="1">
        <f t="shared" si="18"/>
        <v>687.19476736000001</v>
      </c>
      <c r="E66" s="1">
        <f t="shared" si="18"/>
        <v>687.19476736000001</v>
      </c>
    </row>
    <row r="67" spans="1:5" x14ac:dyDescent="0.25">
      <c r="A67" s="2">
        <f t="shared" si="11"/>
        <v>1</v>
      </c>
      <c r="B67" s="1">
        <f t="shared" ref="B67:E67" si="19">B22*0.8</f>
        <v>1374.38953472</v>
      </c>
      <c r="C67" s="1">
        <f t="shared" si="19"/>
        <v>1374.38953472</v>
      </c>
      <c r="D67" s="1">
        <f t="shared" si="19"/>
        <v>1374.38953472</v>
      </c>
      <c r="E67" s="1">
        <f t="shared" si="19"/>
        <v>1374.38953472</v>
      </c>
    </row>
    <row r="68" spans="1:5" x14ac:dyDescent="0.25">
      <c r="A68" s="2">
        <f t="shared" si="11"/>
        <v>2</v>
      </c>
      <c r="B68" s="1">
        <f t="shared" ref="B68:E68" si="20">B23*0.8</f>
        <v>2748.7790694400001</v>
      </c>
      <c r="C68" s="1">
        <f t="shared" si="20"/>
        <v>2748.7790694400001</v>
      </c>
      <c r="D68" s="1">
        <f t="shared" si="20"/>
        <v>2748.7790694400001</v>
      </c>
      <c r="E68" s="1">
        <f t="shared" si="20"/>
        <v>2748.7790694400001</v>
      </c>
    </row>
    <row r="69" spans="1:5" x14ac:dyDescent="0.25">
      <c r="A69" s="2">
        <f t="shared" si="11"/>
        <v>4</v>
      </c>
      <c r="B69" s="1">
        <f t="shared" ref="B69:E69" si="21">B24*0.8</f>
        <v>5497.5581388800001</v>
      </c>
      <c r="C69" s="1">
        <f t="shared" si="21"/>
        <v>5497.5581388800001</v>
      </c>
      <c r="D69" s="1">
        <f t="shared" si="21"/>
        <v>5497.5581388800001</v>
      </c>
      <c r="E69" s="1">
        <f t="shared" si="21"/>
        <v>5497.5581388800001</v>
      </c>
    </row>
    <row r="70" spans="1:5" x14ac:dyDescent="0.25">
      <c r="A70" s="2">
        <f t="shared" si="11"/>
        <v>8</v>
      </c>
      <c r="B70" s="1">
        <f t="shared" ref="B70:E70" si="22">B25*0.8</f>
        <v>10995.11627776</v>
      </c>
      <c r="C70" s="1">
        <f t="shared" si="22"/>
        <v>10995.11627776</v>
      </c>
      <c r="D70" s="1">
        <f t="shared" si="22"/>
        <v>10995.11627776</v>
      </c>
      <c r="E70" s="1">
        <f t="shared" si="22"/>
        <v>10995.11627776</v>
      </c>
    </row>
    <row r="71" spans="1:5" x14ac:dyDescent="0.25">
      <c r="A71" s="2">
        <f t="shared" si="11"/>
        <v>16</v>
      </c>
      <c r="B71" s="1">
        <f t="shared" ref="B71:E71" si="23">B26*0.8</f>
        <v>19148.8</v>
      </c>
      <c r="C71" s="1">
        <f t="shared" si="23"/>
        <v>19148.8</v>
      </c>
      <c r="D71" s="1">
        <f t="shared" si="23"/>
        <v>21990.23255552</v>
      </c>
      <c r="E71" s="1">
        <f t="shared" si="23"/>
        <v>21990.23255552</v>
      </c>
    </row>
    <row r="72" spans="1:5" x14ac:dyDescent="0.25">
      <c r="A72" s="2">
        <f t="shared" si="11"/>
        <v>32</v>
      </c>
      <c r="B72" s="1">
        <f t="shared" ref="B72:E72" si="24">B27*0.8</f>
        <v>19148.8</v>
      </c>
      <c r="C72" s="1">
        <f t="shared" si="24"/>
        <v>19148.8</v>
      </c>
      <c r="D72" s="1">
        <f t="shared" si="24"/>
        <v>38297.599999999999</v>
      </c>
      <c r="E72" s="1">
        <f t="shared" si="24"/>
        <v>38297.599999999999</v>
      </c>
    </row>
    <row r="73" spans="1:5" x14ac:dyDescent="0.25">
      <c r="A73" s="2">
        <f t="shared" si="11"/>
        <v>64</v>
      </c>
      <c r="B73" s="1">
        <f t="shared" ref="B73:E73" si="25">B28*0.8</f>
        <v>19148.8</v>
      </c>
      <c r="C73" s="1">
        <f t="shared" si="25"/>
        <v>19148.8</v>
      </c>
      <c r="D73" s="1">
        <f t="shared" si="25"/>
        <v>38297.599999999999</v>
      </c>
      <c r="E73" s="1">
        <f t="shared" si="25"/>
        <v>38297.599999999999</v>
      </c>
    </row>
    <row r="74" spans="1:5" x14ac:dyDescent="0.25">
      <c r="A74" s="2">
        <f t="shared" si="11"/>
        <v>128</v>
      </c>
      <c r="B74" s="1">
        <f t="shared" ref="B74:E74" si="26">B29*0.8</f>
        <v>19148.8</v>
      </c>
      <c r="C74" s="1">
        <f t="shared" si="26"/>
        <v>19148.8</v>
      </c>
      <c r="D74" s="1">
        <f t="shared" si="26"/>
        <v>38297.599999999999</v>
      </c>
      <c r="E74" s="1">
        <f t="shared" si="26"/>
        <v>38297.599999999999</v>
      </c>
    </row>
    <row r="75" spans="1:5" x14ac:dyDescent="0.25">
      <c r="A75" s="2">
        <f t="shared" si="11"/>
        <v>256</v>
      </c>
      <c r="B75" s="1">
        <f t="shared" ref="B75:E75" si="27">B30*0.8</f>
        <v>19148.8</v>
      </c>
      <c r="C75" s="1">
        <f t="shared" si="27"/>
        <v>19148.8</v>
      </c>
      <c r="D75" s="1">
        <f t="shared" si="27"/>
        <v>38297.599999999999</v>
      </c>
      <c r="E75" s="1">
        <f t="shared" si="27"/>
        <v>38297.599999999999</v>
      </c>
    </row>
    <row r="76" spans="1:5" x14ac:dyDescent="0.25">
      <c r="A76" s="2">
        <f t="shared" si="11"/>
        <v>512</v>
      </c>
      <c r="B76" s="1">
        <f t="shared" ref="B76:E76" si="28">B31*0.8</f>
        <v>19148.8</v>
      </c>
      <c r="C76" s="1">
        <f t="shared" si="28"/>
        <v>19148.8</v>
      </c>
      <c r="D76" s="1">
        <f t="shared" si="28"/>
        <v>38297.599999999999</v>
      </c>
      <c r="E76" s="1">
        <f t="shared" si="28"/>
        <v>38297.599999999999</v>
      </c>
    </row>
    <row r="77" spans="1:5" x14ac:dyDescent="0.25">
      <c r="A77" s="2">
        <f t="shared" si="11"/>
        <v>1024</v>
      </c>
      <c r="B77" s="1">
        <f t="shared" ref="B77:E77" si="29">B32*0.8</f>
        <v>19148.8</v>
      </c>
      <c r="C77" s="1">
        <f t="shared" si="29"/>
        <v>19148.8</v>
      </c>
      <c r="D77" s="1">
        <f t="shared" si="29"/>
        <v>38297.599999999999</v>
      </c>
      <c r="E77" s="1">
        <f t="shared" si="29"/>
        <v>38297.599999999999</v>
      </c>
    </row>
    <row r="78" spans="1:5" x14ac:dyDescent="0.25">
      <c r="A78" s="2">
        <f>A77*2</f>
        <v>2048</v>
      </c>
      <c r="B78" s="1">
        <f t="shared" ref="B78:E78" si="30">B33*0.8</f>
        <v>19148.8</v>
      </c>
      <c r="C78" s="1">
        <f t="shared" si="30"/>
        <v>19148.8</v>
      </c>
      <c r="D78" s="1">
        <f t="shared" si="30"/>
        <v>38297.599999999999</v>
      </c>
      <c r="E78" s="1">
        <f t="shared" si="30"/>
        <v>38297.599999999999</v>
      </c>
    </row>
    <row r="79" spans="1:5" x14ac:dyDescent="0.25">
      <c r="A79" s="2">
        <f t="shared" ref="A79:A99" si="31">A78*2</f>
        <v>4096</v>
      </c>
      <c r="B79" s="1">
        <f t="shared" ref="B79:E79" si="32">B34*0.8</f>
        <v>19148.8</v>
      </c>
      <c r="C79" s="1">
        <f t="shared" si="32"/>
        <v>19148.8</v>
      </c>
      <c r="D79" s="1">
        <f t="shared" si="32"/>
        <v>38297.599999999999</v>
      </c>
      <c r="E79" s="1">
        <f t="shared" si="32"/>
        <v>38297.599999999999</v>
      </c>
    </row>
    <row r="80" spans="1:5" x14ac:dyDescent="0.25">
      <c r="A80" s="2">
        <f t="shared" si="31"/>
        <v>8192</v>
      </c>
      <c r="B80" s="1">
        <f t="shared" ref="B80:E80" si="33">B35*0.8</f>
        <v>19148.8</v>
      </c>
      <c r="C80" s="1">
        <f t="shared" si="33"/>
        <v>19148.8</v>
      </c>
      <c r="D80" s="1">
        <f t="shared" si="33"/>
        <v>38297.599999999999</v>
      </c>
      <c r="E80" s="1">
        <f t="shared" si="33"/>
        <v>38297.599999999999</v>
      </c>
    </row>
    <row r="81" spans="1:5" x14ac:dyDescent="0.25">
      <c r="A81" s="2">
        <f t="shared" si="31"/>
        <v>16384</v>
      </c>
      <c r="B81" s="1">
        <f t="shared" ref="B81:E81" si="34">B36*0.8</f>
        <v>19148.8</v>
      </c>
      <c r="C81" s="1">
        <f t="shared" si="34"/>
        <v>19148.8</v>
      </c>
      <c r="D81" s="1">
        <f t="shared" si="34"/>
        <v>38297.599999999999</v>
      </c>
      <c r="E81" s="1">
        <f t="shared" si="34"/>
        <v>38297.599999999999</v>
      </c>
    </row>
    <row r="82" spans="1:5" x14ac:dyDescent="0.25">
      <c r="A82" s="2">
        <f t="shared" si="31"/>
        <v>32768</v>
      </c>
      <c r="B82" s="1">
        <f t="shared" ref="B82:E82" si="35">B37*0.8</f>
        <v>19148.8</v>
      </c>
      <c r="C82" s="1">
        <f t="shared" si="35"/>
        <v>19148.8</v>
      </c>
      <c r="D82" s="1">
        <f t="shared" si="35"/>
        <v>38297.599999999999</v>
      </c>
      <c r="E82" s="1">
        <f t="shared" si="35"/>
        <v>38297.599999999999</v>
      </c>
    </row>
    <row r="83" spans="1:5" x14ac:dyDescent="0.25">
      <c r="A83" s="2">
        <f t="shared" si="31"/>
        <v>65536</v>
      </c>
      <c r="B83" s="1">
        <f t="shared" ref="B83:E83" si="36">B38*0.8</f>
        <v>19148.8</v>
      </c>
      <c r="C83" s="1">
        <f t="shared" si="36"/>
        <v>19148.8</v>
      </c>
      <c r="D83" s="1">
        <f t="shared" si="36"/>
        <v>38297.599999999999</v>
      </c>
      <c r="E83" s="1">
        <f t="shared" si="36"/>
        <v>38297.599999999999</v>
      </c>
    </row>
    <row r="84" spans="1:5" x14ac:dyDescent="0.25">
      <c r="A84" s="2">
        <f t="shared" si="31"/>
        <v>131072</v>
      </c>
      <c r="B84" s="1">
        <f t="shared" ref="B84:E84" si="37">B39*0.8</f>
        <v>19148.8</v>
      </c>
      <c r="C84" s="1">
        <f t="shared" si="37"/>
        <v>19148.8</v>
      </c>
      <c r="D84" s="1">
        <f t="shared" si="37"/>
        <v>38297.599999999999</v>
      </c>
      <c r="E84" s="1">
        <f t="shared" si="37"/>
        <v>38297.599999999999</v>
      </c>
    </row>
    <row r="85" spans="1:5" x14ac:dyDescent="0.25">
      <c r="A85" s="2">
        <f t="shared" si="31"/>
        <v>262144</v>
      </c>
      <c r="B85" s="1">
        <f t="shared" ref="B85:E85" si="38">B40*0.8</f>
        <v>19148.8</v>
      </c>
      <c r="C85" s="1">
        <f t="shared" si="38"/>
        <v>19148.8</v>
      </c>
      <c r="D85" s="1">
        <f t="shared" si="38"/>
        <v>38297.599999999999</v>
      </c>
      <c r="E85" s="1">
        <f t="shared" si="38"/>
        <v>38297.599999999999</v>
      </c>
    </row>
    <row r="86" spans="1:5" x14ac:dyDescent="0.25">
      <c r="A86" s="2">
        <f t="shared" si="31"/>
        <v>524288</v>
      </c>
      <c r="B86" s="1">
        <f t="shared" ref="B86:E86" si="39">B41*0.8</f>
        <v>19148.8</v>
      </c>
      <c r="C86" s="1">
        <f t="shared" si="39"/>
        <v>19148.8</v>
      </c>
      <c r="D86" s="1">
        <f t="shared" si="39"/>
        <v>38297.599999999999</v>
      </c>
      <c r="E86" s="1">
        <f t="shared" si="39"/>
        <v>38297.599999999999</v>
      </c>
    </row>
    <row r="87" spans="1:5" x14ac:dyDescent="0.25">
      <c r="A87" s="2">
        <f t="shared" si="31"/>
        <v>1048576</v>
      </c>
      <c r="B87" s="1">
        <f t="shared" ref="B87:E87" si="40">B42*0.8</f>
        <v>19148.8</v>
      </c>
      <c r="C87" s="1">
        <f t="shared" si="40"/>
        <v>19148.8</v>
      </c>
      <c r="D87" s="1">
        <f t="shared" si="40"/>
        <v>38297.599999999999</v>
      </c>
      <c r="E87" s="1">
        <f t="shared" si="40"/>
        <v>38297.599999999999</v>
      </c>
    </row>
    <row r="88" spans="1:5" x14ac:dyDescent="0.25">
      <c r="A88" s="2">
        <f t="shared" si="31"/>
        <v>2097152</v>
      </c>
      <c r="B88" s="1">
        <f t="shared" ref="B88:E88" si="41">B43*0.8</f>
        <v>19148.8</v>
      </c>
      <c r="C88" s="1">
        <f t="shared" si="41"/>
        <v>19148.8</v>
      </c>
      <c r="D88" s="1">
        <f t="shared" si="41"/>
        <v>38297.599999999999</v>
      </c>
      <c r="E88" s="1">
        <f t="shared" si="41"/>
        <v>38297.599999999999</v>
      </c>
    </row>
    <row r="89" spans="1:5" x14ac:dyDescent="0.25">
      <c r="A89" s="2">
        <f t="shared" si="31"/>
        <v>4194304</v>
      </c>
      <c r="B89" s="1">
        <f t="shared" ref="B89:E89" si="42">B44*0.8</f>
        <v>19148.8</v>
      </c>
      <c r="C89" s="1">
        <f t="shared" si="42"/>
        <v>19148.8</v>
      </c>
      <c r="D89" s="1">
        <f t="shared" si="42"/>
        <v>38297.599999999999</v>
      </c>
      <c r="E89" s="1">
        <f t="shared" si="42"/>
        <v>38297.599999999999</v>
      </c>
    </row>
    <row r="90" spans="1:5" x14ac:dyDescent="0.25">
      <c r="A90" s="2">
        <f t="shared" si="31"/>
        <v>8388608</v>
      </c>
      <c r="B90" s="1">
        <f t="shared" ref="B90:E90" si="43">B45*0.8</f>
        <v>19148.8</v>
      </c>
      <c r="C90" s="1">
        <f t="shared" si="43"/>
        <v>19148.8</v>
      </c>
      <c r="D90" s="1">
        <f t="shared" si="43"/>
        <v>38297.599999999999</v>
      </c>
      <c r="E90" s="1">
        <f t="shared" si="43"/>
        <v>38297.599999999999</v>
      </c>
    </row>
    <row r="91" spans="1:5" x14ac:dyDescent="0.25">
      <c r="A91" s="2">
        <f t="shared" si="31"/>
        <v>16777216</v>
      </c>
      <c r="B91" s="1">
        <f t="shared" ref="B91:E91" si="44">B46*0.8</f>
        <v>19148.8</v>
      </c>
      <c r="C91" s="1">
        <f t="shared" si="44"/>
        <v>19148.8</v>
      </c>
      <c r="D91" s="1">
        <f t="shared" si="44"/>
        <v>38297.599999999999</v>
      </c>
      <c r="E91" s="1">
        <f t="shared" si="44"/>
        <v>38297.599999999999</v>
      </c>
    </row>
    <row r="92" spans="1:5" x14ac:dyDescent="0.25">
      <c r="A92" s="2">
        <f t="shared" si="31"/>
        <v>33554432</v>
      </c>
      <c r="B92" s="1">
        <f t="shared" ref="B92:E92" si="45">B47*0.8</f>
        <v>19148.8</v>
      </c>
      <c r="C92" s="1">
        <f t="shared" si="45"/>
        <v>19148.8</v>
      </c>
      <c r="D92" s="1">
        <f t="shared" si="45"/>
        <v>38297.599999999999</v>
      </c>
      <c r="E92" s="1">
        <f t="shared" si="45"/>
        <v>38297.599999999999</v>
      </c>
    </row>
    <row r="93" spans="1:5" x14ac:dyDescent="0.25">
      <c r="A93" s="2">
        <f t="shared" si="31"/>
        <v>67108864</v>
      </c>
      <c r="B93" s="1">
        <f t="shared" ref="B93:E93" si="46">B48*0.8</f>
        <v>19148.8</v>
      </c>
      <c r="C93" s="1">
        <f t="shared" si="46"/>
        <v>19148.8</v>
      </c>
      <c r="D93" s="1">
        <f t="shared" si="46"/>
        <v>38297.599999999999</v>
      </c>
      <c r="E93" s="1">
        <f t="shared" si="46"/>
        <v>38297.599999999999</v>
      </c>
    </row>
    <row r="94" spans="1:5" x14ac:dyDescent="0.25">
      <c r="A94" s="2">
        <f t="shared" si="31"/>
        <v>134217728</v>
      </c>
      <c r="B94" s="1">
        <f t="shared" ref="B94:E94" si="47">B49*0.8</f>
        <v>19148.8</v>
      </c>
      <c r="C94" s="1">
        <f t="shared" si="47"/>
        <v>19148.8</v>
      </c>
      <c r="D94" s="1">
        <f t="shared" si="47"/>
        <v>38297.599999999999</v>
      </c>
      <c r="E94" s="1">
        <f t="shared" si="47"/>
        <v>38297.599999999999</v>
      </c>
    </row>
    <row r="95" spans="1:5" x14ac:dyDescent="0.25">
      <c r="A95" s="2">
        <f t="shared" si="31"/>
        <v>268435456</v>
      </c>
      <c r="B95" s="1">
        <f t="shared" ref="B95:E95" si="48">B50*0.8</f>
        <v>19148.8</v>
      </c>
      <c r="C95" s="1">
        <f t="shared" si="48"/>
        <v>19148.8</v>
      </c>
      <c r="D95" s="1">
        <f t="shared" si="48"/>
        <v>38297.599999999999</v>
      </c>
      <c r="E95" s="1">
        <f t="shared" si="48"/>
        <v>38297.599999999999</v>
      </c>
    </row>
    <row r="96" spans="1:5" x14ac:dyDescent="0.25">
      <c r="A96" s="2">
        <f t="shared" si="31"/>
        <v>536870912</v>
      </c>
      <c r="B96" s="1">
        <f t="shared" ref="B96:E96" si="49">B51*0.8</f>
        <v>19148.8</v>
      </c>
      <c r="C96" s="1">
        <f t="shared" si="49"/>
        <v>19148.8</v>
      </c>
      <c r="D96" s="1">
        <f t="shared" si="49"/>
        <v>38297.599999999999</v>
      </c>
      <c r="E96" s="1">
        <f t="shared" si="49"/>
        <v>38297.599999999999</v>
      </c>
    </row>
    <row r="97" spans="1:5" x14ac:dyDescent="0.25">
      <c r="A97" s="2">
        <f t="shared" si="31"/>
        <v>1073741824</v>
      </c>
      <c r="B97" s="1">
        <f t="shared" ref="B97:E97" si="50">B52*0.8</f>
        <v>19148.8</v>
      </c>
      <c r="C97" s="1">
        <f t="shared" si="50"/>
        <v>19148.8</v>
      </c>
      <c r="D97" s="1">
        <f t="shared" si="50"/>
        <v>38297.599999999999</v>
      </c>
      <c r="E97" s="1">
        <f t="shared" si="50"/>
        <v>38297.599999999999</v>
      </c>
    </row>
    <row r="98" spans="1:5" x14ac:dyDescent="0.25">
      <c r="A98" s="2">
        <f t="shared" si="31"/>
        <v>2147483648</v>
      </c>
      <c r="B98" s="1">
        <f t="shared" ref="B98:E98" si="51">B53*0.8</f>
        <v>19148.8</v>
      </c>
      <c r="C98" s="1">
        <f t="shared" si="51"/>
        <v>19148.8</v>
      </c>
      <c r="D98" s="1">
        <f t="shared" si="51"/>
        <v>38297.599999999999</v>
      </c>
      <c r="E98" s="1">
        <f t="shared" si="51"/>
        <v>38297.599999999999</v>
      </c>
    </row>
    <row r="99" spans="1:5" x14ac:dyDescent="0.25">
      <c r="A99" s="2">
        <f t="shared" si="31"/>
        <v>4294967296</v>
      </c>
      <c r="B99" s="1">
        <f t="shared" ref="B99:E99" si="52">B54*0.8</f>
        <v>19148.8</v>
      </c>
      <c r="C99" s="1">
        <f t="shared" si="52"/>
        <v>19148.8</v>
      </c>
      <c r="D99" s="1">
        <f t="shared" si="52"/>
        <v>38297.599999999999</v>
      </c>
      <c r="E99" s="1">
        <f t="shared" si="52"/>
        <v>38297.599999999999</v>
      </c>
    </row>
  </sheetData>
  <mergeCells count="14">
    <mergeCell ref="A56:A57"/>
    <mergeCell ref="B56:C56"/>
    <mergeCell ref="D56:E56"/>
    <mergeCell ref="B55:E55"/>
    <mergeCell ref="A11:A12"/>
    <mergeCell ref="B11:C11"/>
    <mergeCell ref="B6:C6"/>
    <mergeCell ref="B1:E1"/>
    <mergeCell ref="B2:E2"/>
    <mergeCell ref="B3:E3"/>
    <mergeCell ref="B4:E4"/>
    <mergeCell ref="B5:E5"/>
    <mergeCell ref="D6:E6"/>
    <mergeCell ref="D11:E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zoomScaleNormal="100" workbookViewId="0">
      <selection activeCell="O12" sqref="O12"/>
    </sheetView>
  </sheetViews>
  <sheetFormatPr baseColWidth="10" defaultRowHeight="15" x14ac:dyDescent="0.25"/>
  <cols>
    <col min="2" max="4" width="12" bestFit="1" customWidth="1"/>
    <col min="5" max="7" width="12" customWidth="1"/>
    <col min="8" max="8" width="12" bestFit="1" customWidth="1"/>
    <col min="9" max="9" width="7" bestFit="1" customWidth="1"/>
    <col min="10" max="10" width="11.42578125" bestFit="1" customWidth="1"/>
    <col min="11" max="14" width="12" bestFit="1" customWidth="1"/>
    <col min="15" max="16" width="12" customWidth="1"/>
    <col min="17" max="17" width="11.5703125" customWidth="1"/>
  </cols>
  <sheetData>
    <row r="1" spans="2:13" x14ac:dyDescent="0.25">
      <c r="B1" s="9" t="s">
        <v>53</v>
      </c>
      <c r="C1" s="10"/>
      <c r="D1" s="10"/>
      <c r="E1" s="10"/>
      <c r="F1" s="10"/>
      <c r="G1" s="11"/>
      <c r="H1" s="9" t="s">
        <v>54</v>
      </c>
      <c r="I1" s="10"/>
      <c r="J1" s="10"/>
      <c r="K1" s="10"/>
      <c r="L1" s="10"/>
      <c r="M1" s="11"/>
    </row>
    <row r="2" spans="2:13" x14ac:dyDescent="0.25">
      <c r="B2" s="2" t="s">
        <v>51</v>
      </c>
      <c r="C2" s="2" t="s">
        <v>52</v>
      </c>
      <c r="D2" s="2" t="s">
        <v>50</v>
      </c>
      <c r="E2" s="2" t="s">
        <v>58</v>
      </c>
      <c r="F2" s="7" t="s">
        <v>45</v>
      </c>
      <c r="G2" s="2" t="s">
        <v>55</v>
      </c>
      <c r="H2" s="2" t="s">
        <v>51</v>
      </c>
      <c r="I2" s="2" t="s">
        <v>52</v>
      </c>
      <c r="J2" s="2" t="s">
        <v>50</v>
      </c>
      <c r="K2" s="2" t="s">
        <v>58</v>
      </c>
      <c r="L2" s="7" t="s">
        <v>45</v>
      </c>
      <c r="M2" s="2" t="s">
        <v>55</v>
      </c>
    </row>
    <row r="3" spans="2:13" x14ac:dyDescent="0.25">
      <c r="B3" s="3">
        <f>Graph!$B$5*(SUM('Kernel profile B64'!$V10:$W10,'Kernel profile B64'!$Y10)+2*'Kernel profile B64'!$X10)+'Kernel profile B64'!$Z10*Graph!$D$8</f>
        <v>16646160640</v>
      </c>
      <c r="C3" s="3">
        <f>'Kernel profile B64'!$R10*32+('Kernel profile B64'!$S10-'Kernel profile B64'!$R10)*64</f>
        <v>33300792832</v>
      </c>
      <c r="D3" s="3">
        <f>('Kernel profile B64'!$AC10-'Kernel profile B64'!$AB10)/1000000000</f>
        <v>6.1101999999999997E-2</v>
      </c>
      <c r="E3" s="3">
        <f>B3/D3/1000000000</f>
        <v>272.43233674838797</v>
      </c>
      <c r="F3" s="3">
        <f t="shared" ref="F3:F35" si="0">B3/C3</f>
        <v>0.49987280254793426</v>
      </c>
      <c r="G3" s="3">
        <f>1/F3</f>
        <v>2.0005089192747332</v>
      </c>
      <c r="H3" s="3">
        <f>Graph!$B$5*(SUM('Kernel profile B32'!$V10:$W10,'Kernel profile B32'!$Y10)+2*'Kernel profile B32'!$X10)+'Kernel profile B32'!$Z10*Graph!$E$8</f>
        <v>8805756698624</v>
      </c>
      <c r="I3" s="3">
        <f>'Kernel profile B32'!$R10*32+('Kernel profile B32'!$S10-'Kernel profile B32'!$R10)*64</f>
        <v>529728</v>
      </c>
      <c r="J3" s="3">
        <f>('Kernel profile B32'!$AC10-'Kernel profile B32'!$AB10)/1000000000</f>
        <v>0.45817672999999998</v>
      </c>
      <c r="K3" s="3">
        <f t="shared" ref="K3:K9" si="1">H3/J3/1000000000</f>
        <v>19219.126860990957</v>
      </c>
      <c r="L3" s="3">
        <f t="shared" ref="L3:L9" si="2">H3/I3</f>
        <v>16623166.414884619</v>
      </c>
      <c r="M3" s="3">
        <f t="shared" ref="M3:M9" si="3">1/L3</f>
        <v>6.0157010706731889E-8</v>
      </c>
    </row>
    <row r="4" spans="2:13" x14ac:dyDescent="0.25">
      <c r="B4" s="3">
        <f>Graph!$B$5*(SUM('Kernel profile B64'!$V11:$W11,'Kernel profile B64'!$Y11)+2*'Kernel profile B64'!$X11)+'Kernel profile B64'!$Z11*Graph!$D$8</f>
        <v>0</v>
      </c>
      <c r="C4" s="3">
        <f>'Kernel profile B64'!$R11*32+('Kernel profile B64'!$S11-'Kernel profile B64'!$R11)*64</f>
        <v>0</v>
      </c>
      <c r="D4" s="3">
        <f>('Kernel profile B64'!$AC11-'Kernel profile B64'!$AB11)/1000000000</f>
        <v>0</v>
      </c>
      <c r="E4" s="3" t="e">
        <f t="shared" ref="E4:E35" si="4">B4/D4/1000000000</f>
        <v>#DIV/0!</v>
      </c>
      <c r="F4" s="3" t="e">
        <f t="shared" si="0"/>
        <v>#DIV/0!</v>
      </c>
      <c r="G4" s="3" t="e">
        <f t="shared" ref="G4:G35" si="5">1/F4</f>
        <v>#DIV/0!</v>
      </c>
      <c r="H4" s="3">
        <f>Graph!$B$5*(SUM('Kernel profile B32'!$V11:$W11,'Kernel profile B32'!$Y11)+2*'Kernel profile B32'!$X11)+'Kernel profile B32'!$Z11*Graph!$E$8</f>
        <v>0</v>
      </c>
      <c r="I4" s="3">
        <f>'Kernel profile B32'!$R11*32+('Kernel profile B32'!$S11-'Kernel profile B32'!$R11)*64</f>
        <v>0</v>
      </c>
      <c r="J4" s="3">
        <f>('Kernel profile B32'!$AC11-'Kernel profile B32'!$AB11)/1000000000</f>
        <v>0</v>
      </c>
      <c r="K4" s="3" t="e">
        <f t="shared" si="1"/>
        <v>#DIV/0!</v>
      </c>
      <c r="L4" s="3" t="e">
        <f t="shared" si="2"/>
        <v>#DIV/0!</v>
      </c>
      <c r="M4" s="3" t="e">
        <f t="shared" si="3"/>
        <v>#DIV/0!</v>
      </c>
    </row>
    <row r="5" spans="2:13" x14ac:dyDescent="0.25">
      <c r="B5" s="3">
        <f>Graph!$B$5*(SUM('Kernel profile B64'!$V12:$W12,'Kernel profile B64'!$Y12)+2*'Kernel profile B64'!$X12)+'Kernel profile B64'!$Z12*Graph!$D$8</f>
        <v>0</v>
      </c>
      <c r="C5" s="3">
        <f>'Kernel profile B64'!$R12*32+('Kernel profile B64'!$S12-'Kernel profile B64'!$R12)*64</f>
        <v>0</v>
      </c>
      <c r="D5" s="3">
        <f>('Kernel profile B64'!$AC12-'Kernel profile B64'!$AB12)/1000000000</f>
        <v>0</v>
      </c>
      <c r="E5" s="3" t="e">
        <f t="shared" si="4"/>
        <v>#DIV/0!</v>
      </c>
      <c r="F5" s="3" t="e">
        <f t="shared" si="0"/>
        <v>#DIV/0!</v>
      </c>
      <c r="G5" s="3" t="e">
        <f t="shared" si="5"/>
        <v>#DIV/0!</v>
      </c>
      <c r="H5" s="3">
        <f>Graph!$B$5*(SUM('Kernel profile B32'!$V12:$W12,'Kernel profile B32'!$Y12)+2*'Kernel profile B32'!$X12)+'Kernel profile B32'!$Z12*Graph!$E$8</f>
        <v>0</v>
      </c>
      <c r="I5" s="3">
        <f>'Kernel profile B32'!$R12*32+('Kernel profile B32'!$S12-'Kernel profile B32'!$R12)*64</f>
        <v>0</v>
      </c>
      <c r="J5" s="3">
        <f>('Kernel profile B32'!$AC12-'Kernel profile B32'!$AB12)/1000000000</f>
        <v>0</v>
      </c>
      <c r="K5" s="3" t="e">
        <f t="shared" si="1"/>
        <v>#DIV/0!</v>
      </c>
      <c r="L5" s="3" t="e">
        <f t="shared" si="2"/>
        <v>#DIV/0!</v>
      </c>
      <c r="M5" s="3" t="e">
        <f t="shared" si="3"/>
        <v>#DIV/0!</v>
      </c>
    </row>
    <row r="6" spans="2:13" x14ac:dyDescent="0.25">
      <c r="B6" s="3">
        <f>Graph!$B$5*(SUM('Kernel profile B64'!$V13:$W13,'Kernel profile B64'!$Y13)+2*'Kernel profile B64'!$X13)+'Kernel profile B64'!$Z13*Graph!$D$8</f>
        <v>0</v>
      </c>
      <c r="C6" s="3">
        <f>'Kernel profile B64'!$R13*32+('Kernel profile B64'!$S13-'Kernel profile B64'!$R13)*64</f>
        <v>0</v>
      </c>
      <c r="D6" s="3">
        <f>('Kernel profile B64'!$AC13-'Kernel profile B64'!$AB13)/1000000000</f>
        <v>0</v>
      </c>
      <c r="E6" s="3" t="e">
        <f t="shared" si="4"/>
        <v>#DIV/0!</v>
      </c>
      <c r="F6" s="3" t="e">
        <f t="shared" si="0"/>
        <v>#DIV/0!</v>
      </c>
      <c r="G6" s="3" t="e">
        <f t="shared" si="5"/>
        <v>#DIV/0!</v>
      </c>
      <c r="H6" s="3">
        <f>Graph!$B$5*(SUM('Kernel profile B32'!$V13:$W13,'Kernel profile B32'!$Y13)+2*'Kernel profile B32'!$X13)+'Kernel profile B32'!$Z13*Graph!$E$8</f>
        <v>0</v>
      </c>
      <c r="I6" s="3">
        <f>'Kernel profile B32'!$R13*32+('Kernel profile B32'!$S13-'Kernel profile B32'!$R13)*64</f>
        <v>0</v>
      </c>
      <c r="J6" s="3">
        <f>('Kernel profile B32'!$AC13-'Kernel profile B32'!$AB13)/1000000000</f>
        <v>0</v>
      </c>
      <c r="K6" s="3" t="e">
        <f t="shared" si="1"/>
        <v>#DIV/0!</v>
      </c>
      <c r="L6" s="3" t="e">
        <f t="shared" si="2"/>
        <v>#DIV/0!</v>
      </c>
      <c r="M6" s="3" t="e">
        <f t="shared" si="3"/>
        <v>#DIV/0!</v>
      </c>
    </row>
    <row r="7" spans="2:13" x14ac:dyDescent="0.25">
      <c r="B7" s="3">
        <f>Graph!$B$5*(SUM('Kernel profile B64'!$V14:$W14,'Kernel profile B64'!$Y14)+2*'Kernel profile B64'!$X14)+'Kernel profile B64'!$Z14*Graph!$D$8</f>
        <v>0</v>
      </c>
      <c r="C7" s="3">
        <f>'Kernel profile B64'!$R14*32+('Kernel profile B64'!$S14-'Kernel profile B64'!$R14)*64</f>
        <v>0</v>
      </c>
      <c r="D7" s="3">
        <f>('Kernel profile B64'!$AC14-'Kernel profile B64'!$AB14)/1000000000</f>
        <v>0</v>
      </c>
      <c r="E7" s="3" t="e">
        <f t="shared" si="4"/>
        <v>#DIV/0!</v>
      </c>
      <c r="F7" s="3" t="e">
        <f t="shared" si="0"/>
        <v>#DIV/0!</v>
      </c>
      <c r="G7" s="3" t="e">
        <f t="shared" si="5"/>
        <v>#DIV/0!</v>
      </c>
      <c r="H7" s="3">
        <f>Graph!$B$5*(SUM('Kernel profile B32'!$V14:$W14,'Kernel profile B32'!$Y14)+2*'Kernel profile B32'!$X14)+'Kernel profile B32'!$Z14*Graph!$E$8</f>
        <v>0</v>
      </c>
      <c r="I7" s="3">
        <f>'Kernel profile B32'!$R14*32+('Kernel profile B32'!$S14-'Kernel profile B32'!$R14)*64</f>
        <v>0</v>
      </c>
      <c r="J7" s="3">
        <f>('Kernel profile B32'!$AC14-'Kernel profile B32'!$AB14)/1000000000</f>
        <v>0</v>
      </c>
      <c r="K7" s="3" t="e">
        <f t="shared" si="1"/>
        <v>#DIV/0!</v>
      </c>
      <c r="L7" s="3" t="e">
        <f t="shared" si="2"/>
        <v>#DIV/0!</v>
      </c>
      <c r="M7" s="3" t="e">
        <f t="shared" si="3"/>
        <v>#DIV/0!</v>
      </c>
    </row>
    <row r="8" spans="2:13" x14ac:dyDescent="0.25">
      <c r="B8" s="3">
        <f>Graph!$B$5*(SUM('Kernel profile B64'!$V15:$W15,'Kernel profile B64'!$Y15)+2*'Kernel profile B64'!$X15)+'Kernel profile B64'!$Z15*Graph!$D$8</f>
        <v>0</v>
      </c>
      <c r="C8" s="3">
        <f>'Kernel profile B64'!$R15*32+('Kernel profile B64'!$S15-'Kernel profile B64'!$R15)*64</f>
        <v>0</v>
      </c>
      <c r="D8" s="3">
        <f>('Kernel profile B64'!$AC15-'Kernel profile B64'!$AB15)/1000000000</f>
        <v>0</v>
      </c>
      <c r="E8" s="3" t="e">
        <f t="shared" si="4"/>
        <v>#DIV/0!</v>
      </c>
      <c r="F8" s="3" t="e">
        <f t="shared" si="0"/>
        <v>#DIV/0!</v>
      </c>
      <c r="G8" s="3" t="e">
        <f t="shared" si="5"/>
        <v>#DIV/0!</v>
      </c>
      <c r="H8" s="3">
        <f>Graph!$B$5*(SUM('Kernel profile B32'!$V15:$W15,'Kernel profile B32'!$Y15)+2*'Kernel profile B32'!$X15)+'Kernel profile B32'!$Z15*Graph!$E$8</f>
        <v>0</v>
      </c>
      <c r="I8" s="3">
        <f>'Kernel profile B32'!$R15*32+('Kernel profile B32'!$S15-'Kernel profile B32'!$R15)*64</f>
        <v>0</v>
      </c>
      <c r="J8" s="3">
        <f>('Kernel profile B32'!$AC15-'Kernel profile B32'!$AB15)/1000000000</f>
        <v>0</v>
      </c>
      <c r="K8" s="3" t="e">
        <f t="shared" si="1"/>
        <v>#DIV/0!</v>
      </c>
      <c r="L8" s="3" t="e">
        <f t="shared" si="2"/>
        <v>#DIV/0!</v>
      </c>
      <c r="M8" s="3" t="e">
        <f t="shared" si="3"/>
        <v>#DIV/0!</v>
      </c>
    </row>
    <row r="9" spans="2:13" x14ac:dyDescent="0.25">
      <c r="B9" s="3">
        <f>Graph!$B$5*(SUM('Kernel profile B64'!$V16:$W16,'Kernel profile B64'!$Y16)+2*'Kernel profile B64'!$X16)+'Kernel profile B64'!$Z16*Graph!$D$8</f>
        <v>0</v>
      </c>
      <c r="C9" s="3">
        <f>'Kernel profile B64'!$R16*32+('Kernel profile B64'!$S16-'Kernel profile B64'!$R16)*64</f>
        <v>0</v>
      </c>
      <c r="D9" s="3">
        <f>('Kernel profile B64'!$AC16-'Kernel profile B64'!$AB16)/1000000000</f>
        <v>0</v>
      </c>
      <c r="E9" s="3" t="e">
        <f t="shared" si="4"/>
        <v>#DIV/0!</v>
      </c>
      <c r="F9" s="3" t="e">
        <f t="shared" si="0"/>
        <v>#DIV/0!</v>
      </c>
      <c r="G9" s="3" t="e">
        <f t="shared" si="5"/>
        <v>#DIV/0!</v>
      </c>
      <c r="H9" s="3">
        <f>Graph!$B$5*(SUM('Kernel profile B32'!$V16:$W16,'Kernel profile B32'!$Y16)+2*'Kernel profile B32'!$X16)+'Kernel profile B32'!$Z16*Graph!$E$8</f>
        <v>0</v>
      </c>
      <c r="I9" s="3">
        <f>'Kernel profile B32'!$R16*32+('Kernel profile B32'!$S16-'Kernel profile B32'!$R16)*64</f>
        <v>0</v>
      </c>
      <c r="J9" s="3">
        <f>('Kernel profile B32'!$AC16-'Kernel profile B32'!$AB16)/1000000000</f>
        <v>0</v>
      </c>
      <c r="K9" s="3" t="e">
        <f t="shared" si="1"/>
        <v>#DIV/0!</v>
      </c>
      <c r="L9" s="3" t="e">
        <f t="shared" si="2"/>
        <v>#DIV/0!</v>
      </c>
      <c r="M9" s="3" t="e">
        <f t="shared" si="3"/>
        <v>#DIV/0!</v>
      </c>
    </row>
    <row r="10" spans="2:13" x14ac:dyDescent="0.25">
      <c r="B10" s="3">
        <f>Graph!$B$5*(SUM('Kernel profile B64'!$V17:$W17,'Kernel profile B64'!$Y17)+2*'Kernel profile B64'!$X17)+'Kernel profile B64'!$Z17*Graph!$D$8</f>
        <v>0</v>
      </c>
      <c r="C10" s="3">
        <f>'Kernel profile B64'!$R17*32+('Kernel profile B64'!$S17-'Kernel profile B64'!$R17)*64</f>
        <v>0</v>
      </c>
      <c r="D10" s="3">
        <f>('Kernel profile B64'!$AC17-'Kernel profile B64'!$AB17)/1000000000</f>
        <v>0</v>
      </c>
      <c r="E10" s="3" t="e">
        <f t="shared" si="4"/>
        <v>#DIV/0!</v>
      </c>
      <c r="F10" s="3" t="e">
        <f t="shared" si="0"/>
        <v>#DIV/0!</v>
      </c>
      <c r="G10" s="3" t="e">
        <f t="shared" si="5"/>
        <v>#DIV/0!</v>
      </c>
      <c r="H10" s="3">
        <f>Graph!$B$5*(SUM('Kernel profile B32'!$V17:$W17,'Kernel profile B32'!$Y17)+2*'Kernel profile B32'!$X17)+'Kernel profile B32'!$Z17*Graph!$E$8</f>
        <v>0</v>
      </c>
      <c r="I10" s="3">
        <f>'Kernel profile B32'!$R17*32+('Kernel profile B32'!$S17-'Kernel profile B32'!$R17)*64</f>
        <v>0</v>
      </c>
      <c r="J10" s="3">
        <f>('Kernel profile B32'!$AC17-'Kernel profile B32'!$AB17)/1000000000</f>
        <v>0</v>
      </c>
      <c r="K10" s="3" t="e">
        <f t="shared" ref="K10:K35" si="6">H10/J10/1000000000</f>
        <v>#DIV/0!</v>
      </c>
      <c r="L10" s="3" t="e">
        <f t="shared" ref="L10:L35" si="7">H10/I10</f>
        <v>#DIV/0!</v>
      </c>
      <c r="M10" s="3" t="e">
        <f t="shared" ref="M10:M35" si="8">1/L10</f>
        <v>#DIV/0!</v>
      </c>
    </row>
    <row r="11" spans="2:13" x14ac:dyDescent="0.25">
      <c r="B11" s="3">
        <f>Graph!$B$5*(SUM('Kernel profile B64'!$V18:$W18,'Kernel profile B64'!$Y18)+2*'Kernel profile B64'!$X18)+'Kernel profile B64'!$Z18*Graph!$D$8</f>
        <v>0</v>
      </c>
      <c r="C11" s="3">
        <f>'Kernel profile B64'!$R18*32+('Kernel profile B64'!$S18-'Kernel profile B64'!$R18)*64</f>
        <v>0</v>
      </c>
      <c r="D11" s="3">
        <f>('Kernel profile B64'!$AC18-'Kernel profile B64'!$AB18)/1000000000</f>
        <v>0</v>
      </c>
      <c r="E11" s="3" t="e">
        <f t="shared" si="4"/>
        <v>#DIV/0!</v>
      </c>
      <c r="F11" s="3" t="e">
        <f t="shared" si="0"/>
        <v>#DIV/0!</v>
      </c>
      <c r="G11" s="3" t="e">
        <f t="shared" si="5"/>
        <v>#DIV/0!</v>
      </c>
      <c r="H11" s="3">
        <f>Graph!$B$5*(SUM('Kernel profile B32'!$V18:$W18,'Kernel profile B32'!$Y18)+2*'Kernel profile B32'!$X18)+'Kernel profile B32'!$Z18*Graph!$E$8</f>
        <v>0</v>
      </c>
      <c r="I11" s="3">
        <f>'Kernel profile B32'!$R18*32+('Kernel profile B32'!$S18-'Kernel profile B32'!$R18)*64</f>
        <v>0</v>
      </c>
      <c r="J11" s="3">
        <f>('Kernel profile B32'!$AC18-'Kernel profile B32'!$AB18)/1000000000</f>
        <v>0</v>
      </c>
      <c r="K11" s="3" t="e">
        <f t="shared" si="6"/>
        <v>#DIV/0!</v>
      </c>
      <c r="L11" s="3" t="e">
        <f t="shared" si="7"/>
        <v>#DIV/0!</v>
      </c>
      <c r="M11" s="3" t="e">
        <f t="shared" si="8"/>
        <v>#DIV/0!</v>
      </c>
    </row>
    <row r="12" spans="2:13" x14ac:dyDescent="0.25">
      <c r="B12" s="3">
        <f>Graph!$B$5*(SUM('Kernel profile B64'!$V19:$W19,'Kernel profile B64'!$Y19)+2*'Kernel profile B64'!$X19)+'Kernel profile B64'!$Z19*Graph!$D$8</f>
        <v>0</v>
      </c>
      <c r="C12" s="3">
        <f>'Kernel profile B64'!$R19*32+('Kernel profile B64'!$S19-'Kernel profile B64'!$R19)*64</f>
        <v>0</v>
      </c>
      <c r="D12" s="3">
        <f>('Kernel profile B64'!$AC19-'Kernel profile B64'!$AB19)/1000000000</f>
        <v>0</v>
      </c>
      <c r="E12" s="3" t="e">
        <f t="shared" si="4"/>
        <v>#DIV/0!</v>
      </c>
      <c r="F12" s="3" t="e">
        <f t="shared" si="0"/>
        <v>#DIV/0!</v>
      </c>
      <c r="G12" s="3" t="e">
        <f t="shared" si="5"/>
        <v>#DIV/0!</v>
      </c>
      <c r="H12" s="3">
        <f>Graph!$B$5*(SUM('Kernel profile B32'!$V19:$W19,'Kernel profile B32'!$Y19)+2*'Kernel profile B32'!$X19)+'Kernel profile B32'!$Z19*Graph!$E$8</f>
        <v>0</v>
      </c>
      <c r="I12" s="3">
        <f>'Kernel profile B32'!$R19*32+('Kernel profile B32'!$S19-'Kernel profile B32'!$R19)*64</f>
        <v>0</v>
      </c>
      <c r="J12" s="3">
        <f>('Kernel profile B32'!$AC19-'Kernel profile B32'!$AB19)/1000000000</f>
        <v>0</v>
      </c>
      <c r="K12" s="3" t="e">
        <f t="shared" si="6"/>
        <v>#DIV/0!</v>
      </c>
      <c r="L12" s="3" t="e">
        <f t="shared" si="7"/>
        <v>#DIV/0!</v>
      </c>
      <c r="M12" s="3" t="e">
        <f t="shared" si="8"/>
        <v>#DIV/0!</v>
      </c>
    </row>
    <row r="13" spans="2:13" x14ac:dyDescent="0.25">
      <c r="B13" s="3">
        <f>Graph!$B$5*(SUM('Kernel profile B64'!$V20:$W20,'Kernel profile B64'!$Y20)+2*'Kernel profile B64'!$X20)+'Kernel profile B64'!$Z20*Graph!$D$8</f>
        <v>0</v>
      </c>
      <c r="C13" s="3">
        <f>'Kernel profile B64'!$R20*32+('Kernel profile B64'!$S20-'Kernel profile B64'!$R20)*64</f>
        <v>0</v>
      </c>
      <c r="D13" s="3">
        <f>('Kernel profile B64'!$AC20-'Kernel profile B64'!$AB20)/1000000000</f>
        <v>0</v>
      </c>
      <c r="E13" s="3" t="e">
        <f t="shared" si="4"/>
        <v>#DIV/0!</v>
      </c>
      <c r="F13" s="3" t="e">
        <f t="shared" si="0"/>
        <v>#DIV/0!</v>
      </c>
      <c r="G13" s="3" t="e">
        <f t="shared" si="5"/>
        <v>#DIV/0!</v>
      </c>
      <c r="H13" s="3">
        <f>Graph!$B$5*(SUM('Kernel profile B32'!$V20:$W20,'Kernel profile B32'!$Y20)+2*'Kernel profile B32'!$X20)+'Kernel profile B32'!$Z20*Graph!$E$8</f>
        <v>0</v>
      </c>
      <c r="I13" s="3">
        <f>'Kernel profile B32'!$R20*32+('Kernel profile B32'!$S20-'Kernel profile B32'!$R20)*64</f>
        <v>0</v>
      </c>
      <c r="J13" s="3">
        <f>('Kernel profile B32'!$AC20-'Kernel profile B32'!$AB20)/1000000000</f>
        <v>0</v>
      </c>
      <c r="K13" s="3" t="e">
        <f t="shared" si="6"/>
        <v>#DIV/0!</v>
      </c>
      <c r="L13" s="3" t="e">
        <f t="shared" si="7"/>
        <v>#DIV/0!</v>
      </c>
      <c r="M13" s="3" t="e">
        <f t="shared" si="8"/>
        <v>#DIV/0!</v>
      </c>
    </row>
    <row r="14" spans="2:13" x14ac:dyDescent="0.25">
      <c r="B14" s="3">
        <f>Graph!$B$5*(SUM('Kernel profile B64'!$V21:$W21,'Kernel profile B64'!$Y21)+2*'Kernel profile B64'!$X21)+'Kernel profile B64'!$Z21*Graph!$D$8</f>
        <v>0</v>
      </c>
      <c r="C14" s="3">
        <f>'Kernel profile B64'!$R21*32+('Kernel profile B64'!$S21-'Kernel profile B64'!$R21)*64</f>
        <v>0</v>
      </c>
      <c r="D14" s="3">
        <f>('Kernel profile B64'!$AC21-'Kernel profile B64'!$AB21)/1000000000</f>
        <v>0</v>
      </c>
      <c r="E14" s="3" t="e">
        <f t="shared" si="4"/>
        <v>#DIV/0!</v>
      </c>
      <c r="F14" s="3" t="e">
        <f t="shared" si="0"/>
        <v>#DIV/0!</v>
      </c>
      <c r="G14" s="3" t="e">
        <f t="shared" si="5"/>
        <v>#DIV/0!</v>
      </c>
      <c r="H14" s="3">
        <f>Graph!$B$5*(SUM('Kernel profile B32'!$V21:$W21,'Kernel profile B32'!$Y21)+2*'Kernel profile B32'!$X21)+'Kernel profile B32'!$Z21*Graph!$E$8</f>
        <v>0</v>
      </c>
      <c r="I14" s="3">
        <f>'Kernel profile B32'!$R21*32+('Kernel profile B32'!$S21-'Kernel profile B32'!$R21)*64</f>
        <v>0</v>
      </c>
      <c r="J14" s="3">
        <f>('Kernel profile B32'!$AC21-'Kernel profile B32'!$AB21)/1000000000</f>
        <v>0</v>
      </c>
      <c r="K14" s="3" t="e">
        <f t="shared" si="6"/>
        <v>#DIV/0!</v>
      </c>
      <c r="L14" s="3" t="e">
        <f t="shared" si="7"/>
        <v>#DIV/0!</v>
      </c>
      <c r="M14" s="3" t="e">
        <f t="shared" si="8"/>
        <v>#DIV/0!</v>
      </c>
    </row>
    <row r="15" spans="2:13" x14ac:dyDescent="0.25">
      <c r="B15" s="3">
        <f>Graph!$B$5*(SUM('Kernel profile B64'!$V22:$W22,'Kernel profile B64'!$Y22)+2*'Kernel profile B64'!$X22)+'Kernel profile B64'!$Z22*Graph!$D$8</f>
        <v>0</v>
      </c>
      <c r="C15" s="3">
        <f>'Kernel profile B64'!$R22*32+('Kernel profile B64'!$S22-'Kernel profile B64'!$R22)*64</f>
        <v>0</v>
      </c>
      <c r="D15" s="3">
        <f>('Kernel profile B64'!$AC22-'Kernel profile B64'!$AB22)/1000000000</f>
        <v>0</v>
      </c>
      <c r="E15" s="3" t="e">
        <f t="shared" si="4"/>
        <v>#DIV/0!</v>
      </c>
      <c r="F15" s="3" t="e">
        <f t="shared" si="0"/>
        <v>#DIV/0!</v>
      </c>
      <c r="G15" s="3" t="e">
        <f t="shared" si="5"/>
        <v>#DIV/0!</v>
      </c>
      <c r="H15" s="3">
        <f>Graph!$B$5*(SUM('Kernel profile B32'!$V22:$W22,'Kernel profile B32'!$Y22)+2*'Kernel profile B32'!$X22)+'Kernel profile B32'!$Z22*Graph!$E$8</f>
        <v>0</v>
      </c>
      <c r="I15" s="3">
        <f>'Kernel profile B32'!$R22*32+('Kernel profile B32'!$S22-'Kernel profile B32'!$R22)*64</f>
        <v>0</v>
      </c>
      <c r="J15" s="3">
        <f>('Kernel profile B32'!$AC22-'Kernel profile B32'!$AB22)/1000000000</f>
        <v>0</v>
      </c>
      <c r="K15" s="3" t="e">
        <f t="shared" si="6"/>
        <v>#DIV/0!</v>
      </c>
      <c r="L15" s="3" t="e">
        <f t="shared" si="7"/>
        <v>#DIV/0!</v>
      </c>
      <c r="M15" s="3" t="e">
        <f t="shared" si="8"/>
        <v>#DIV/0!</v>
      </c>
    </row>
    <row r="16" spans="2:13" x14ac:dyDescent="0.25">
      <c r="B16" s="3">
        <f>Graph!$B$5*(SUM('Kernel profile B64'!$V23:$W23,'Kernel profile B64'!$Y23)+2*'Kernel profile B64'!$X23)+'Kernel profile B64'!$Z23*Graph!$D$8</f>
        <v>0</v>
      </c>
      <c r="C16" s="3">
        <f>'Kernel profile B64'!$R23*32+('Kernel profile B64'!$S23-'Kernel profile B64'!$R23)*64</f>
        <v>0</v>
      </c>
      <c r="D16" s="3">
        <f>('Kernel profile B64'!$AC23-'Kernel profile B64'!$AB23)/1000000000</f>
        <v>0</v>
      </c>
      <c r="E16" s="3" t="e">
        <f t="shared" si="4"/>
        <v>#DIV/0!</v>
      </c>
      <c r="F16" s="3" t="e">
        <f t="shared" si="0"/>
        <v>#DIV/0!</v>
      </c>
      <c r="G16" s="3" t="e">
        <f t="shared" si="5"/>
        <v>#DIV/0!</v>
      </c>
      <c r="H16" s="3">
        <f>Graph!$B$5*(SUM('Kernel profile B32'!$V23:$W23,'Kernel profile B32'!$Y23)+2*'Kernel profile B32'!$X23)+'Kernel profile B32'!$Z23*Graph!$E$8</f>
        <v>0</v>
      </c>
      <c r="I16" s="3">
        <f>'Kernel profile B32'!$R23*32+('Kernel profile B32'!$S23-'Kernel profile B32'!$R23)*64</f>
        <v>0</v>
      </c>
      <c r="J16" s="3">
        <f>('Kernel profile B32'!$AC23-'Kernel profile B32'!$AB23)/1000000000</f>
        <v>0</v>
      </c>
      <c r="K16" s="3" t="e">
        <f t="shared" si="6"/>
        <v>#DIV/0!</v>
      </c>
      <c r="L16" s="3" t="e">
        <f t="shared" si="7"/>
        <v>#DIV/0!</v>
      </c>
      <c r="M16" s="3" t="e">
        <f t="shared" si="8"/>
        <v>#DIV/0!</v>
      </c>
    </row>
    <row r="17" spans="2:13" x14ac:dyDescent="0.25">
      <c r="B17" s="3">
        <f>Graph!$B$5*(SUM('Kernel profile B64'!$V24:$W24,'Kernel profile B64'!$Y24)+2*'Kernel profile B64'!$X24)+'Kernel profile B64'!$Z24*Graph!$D$8</f>
        <v>0</v>
      </c>
      <c r="C17" s="3">
        <f>'Kernel profile B64'!$R24*32+('Kernel profile B64'!$S24-'Kernel profile B64'!$R24)*64</f>
        <v>0</v>
      </c>
      <c r="D17" s="3">
        <f>('Kernel profile B64'!$AC24-'Kernel profile B64'!$AB24)/1000000000</f>
        <v>0</v>
      </c>
      <c r="E17" s="3" t="e">
        <f t="shared" si="4"/>
        <v>#DIV/0!</v>
      </c>
      <c r="F17" s="3" t="e">
        <f t="shared" si="0"/>
        <v>#DIV/0!</v>
      </c>
      <c r="G17" s="3" t="e">
        <f t="shared" si="5"/>
        <v>#DIV/0!</v>
      </c>
      <c r="H17" s="3">
        <f>Graph!$B$5*(SUM('Kernel profile B32'!$V24:$W24,'Kernel profile B32'!$Y24)+2*'Kernel profile B32'!$X24)+'Kernel profile B32'!$Z24*Graph!$E$8</f>
        <v>0</v>
      </c>
      <c r="I17" s="3">
        <f>'Kernel profile B32'!$R24*32+('Kernel profile B32'!$S24-'Kernel profile B32'!$R24)*64</f>
        <v>0</v>
      </c>
      <c r="J17" s="3">
        <f>('Kernel profile B32'!$AC24-'Kernel profile B32'!$AB24)/1000000000</f>
        <v>0</v>
      </c>
      <c r="K17" s="3" t="e">
        <f t="shared" si="6"/>
        <v>#DIV/0!</v>
      </c>
      <c r="L17" s="3" t="e">
        <f t="shared" si="7"/>
        <v>#DIV/0!</v>
      </c>
      <c r="M17" s="3" t="e">
        <f t="shared" si="8"/>
        <v>#DIV/0!</v>
      </c>
    </row>
    <row r="18" spans="2:13" x14ac:dyDescent="0.25">
      <c r="B18" s="3">
        <f>Graph!$B$5*(SUM('Kernel profile B64'!$V25:$W25,'Kernel profile B64'!$Y25)+2*'Kernel profile B64'!$X25)+'Kernel profile B64'!$Z25*Graph!$D$8</f>
        <v>0</v>
      </c>
      <c r="C18" s="3">
        <f>'Kernel profile B64'!$R25*32+('Kernel profile B64'!$S25-'Kernel profile B64'!$R25)*64</f>
        <v>0</v>
      </c>
      <c r="D18" s="3">
        <f>('Kernel profile B64'!$AC25-'Kernel profile B64'!$AB25)/1000000000</f>
        <v>0</v>
      </c>
      <c r="E18" s="3" t="e">
        <f t="shared" si="4"/>
        <v>#DIV/0!</v>
      </c>
      <c r="F18" s="3" t="e">
        <f t="shared" si="0"/>
        <v>#DIV/0!</v>
      </c>
      <c r="G18" s="3" t="e">
        <f t="shared" si="5"/>
        <v>#DIV/0!</v>
      </c>
      <c r="H18" s="3">
        <f>Graph!$B$5*(SUM('Kernel profile B32'!$V25:$W25,'Kernel profile B32'!$Y25)+2*'Kernel profile B32'!$X25)+'Kernel profile B32'!$Z25*Graph!$E$8</f>
        <v>0</v>
      </c>
      <c r="I18" s="3">
        <f>'Kernel profile B32'!$R25*32+('Kernel profile B32'!$S25-'Kernel profile B32'!$R25)*64</f>
        <v>0</v>
      </c>
      <c r="J18" s="3">
        <f>('Kernel profile B32'!$AC25-'Kernel profile B32'!$AB25)/1000000000</f>
        <v>0</v>
      </c>
      <c r="K18" s="3" t="e">
        <f t="shared" si="6"/>
        <v>#DIV/0!</v>
      </c>
      <c r="L18" s="3" t="e">
        <f t="shared" si="7"/>
        <v>#DIV/0!</v>
      </c>
      <c r="M18" s="3" t="e">
        <f t="shared" si="8"/>
        <v>#DIV/0!</v>
      </c>
    </row>
    <row r="19" spans="2:13" x14ac:dyDescent="0.25">
      <c r="B19" s="3">
        <f>Graph!$B$5*(SUM('Kernel profile B64'!$V26:$W26,'Kernel profile B64'!$Y26)+2*'Kernel profile B64'!$X26)+'Kernel profile B64'!$Z26*Graph!$D$8</f>
        <v>0</v>
      </c>
      <c r="C19" s="3">
        <f>'Kernel profile B64'!$R26*32+('Kernel profile B64'!$S26-'Kernel profile B64'!$R26)*64</f>
        <v>0</v>
      </c>
      <c r="D19" s="3">
        <f>('Kernel profile B64'!$AC26-'Kernel profile B64'!$AB26)/1000000000</f>
        <v>0</v>
      </c>
      <c r="E19" s="3" t="e">
        <f t="shared" si="4"/>
        <v>#DIV/0!</v>
      </c>
      <c r="F19" s="3" t="e">
        <f t="shared" si="0"/>
        <v>#DIV/0!</v>
      </c>
      <c r="G19" s="3" t="e">
        <f t="shared" si="5"/>
        <v>#DIV/0!</v>
      </c>
      <c r="H19" s="3">
        <f>Graph!$B$5*(SUM('Kernel profile B32'!$V26:$W26,'Kernel profile B32'!$Y26)+2*'Kernel profile B32'!$X26)+'Kernel profile B32'!$Z26*Graph!$E$8</f>
        <v>0</v>
      </c>
      <c r="I19" s="3">
        <f>'Kernel profile B32'!$R26*32+('Kernel profile B32'!$S26-'Kernel profile B32'!$R26)*64</f>
        <v>0</v>
      </c>
      <c r="J19" s="3">
        <f>('Kernel profile B32'!$AC26-'Kernel profile B32'!$AB26)/1000000000</f>
        <v>0</v>
      </c>
      <c r="K19" s="3" t="e">
        <f t="shared" si="6"/>
        <v>#DIV/0!</v>
      </c>
      <c r="L19" s="3" t="e">
        <f t="shared" si="7"/>
        <v>#DIV/0!</v>
      </c>
      <c r="M19" s="3" t="e">
        <f t="shared" si="8"/>
        <v>#DIV/0!</v>
      </c>
    </row>
    <row r="20" spans="2:13" x14ac:dyDescent="0.25">
      <c r="B20" s="3">
        <f>Graph!$B$5*(SUM('Kernel profile B64'!$V27:$W27,'Kernel profile B64'!$Y27)+2*'Kernel profile B64'!$X27)+'Kernel profile B64'!$Z27*Graph!$D$8</f>
        <v>0</v>
      </c>
      <c r="C20" s="3">
        <f>'Kernel profile B64'!$R27*32+('Kernel profile B64'!$S27-'Kernel profile B64'!$R27)*64</f>
        <v>0</v>
      </c>
      <c r="D20" s="3">
        <f>('Kernel profile B64'!$AC27-'Kernel profile B64'!$AB27)/1000000000</f>
        <v>0</v>
      </c>
      <c r="E20" s="3" t="e">
        <f t="shared" si="4"/>
        <v>#DIV/0!</v>
      </c>
      <c r="F20" s="3" t="e">
        <f t="shared" si="0"/>
        <v>#DIV/0!</v>
      </c>
      <c r="G20" s="3" t="e">
        <f t="shared" si="5"/>
        <v>#DIV/0!</v>
      </c>
      <c r="H20" s="3">
        <f>Graph!$B$5*(SUM('Kernel profile B32'!$V27:$W27,'Kernel profile B32'!$Y27)+2*'Kernel profile B32'!$X27)+'Kernel profile B32'!$Z27*Graph!$E$8</f>
        <v>0</v>
      </c>
      <c r="I20" s="3">
        <f>'Kernel profile B32'!$R27*32+('Kernel profile B32'!$S27-'Kernel profile B32'!$R27)*64</f>
        <v>0</v>
      </c>
      <c r="J20" s="3">
        <f>('Kernel profile B32'!$AC27-'Kernel profile B32'!$AB27)/1000000000</f>
        <v>0</v>
      </c>
      <c r="K20" s="3" t="e">
        <f t="shared" si="6"/>
        <v>#DIV/0!</v>
      </c>
      <c r="L20" s="3" t="e">
        <f t="shared" si="7"/>
        <v>#DIV/0!</v>
      </c>
      <c r="M20" s="3" t="e">
        <f t="shared" si="8"/>
        <v>#DIV/0!</v>
      </c>
    </row>
    <row r="21" spans="2:13" x14ac:dyDescent="0.25">
      <c r="B21" s="3">
        <f>Graph!$B$5*(SUM('Kernel profile B64'!$V28:$W28,'Kernel profile B64'!$Y28)+2*'Kernel profile B64'!$X28)+'Kernel profile B64'!$Z28*Graph!$D$8</f>
        <v>0</v>
      </c>
      <c r="C21" s="3">
        <f>'Kernel profile B64'!$R28*32+('Kernel profile B64'!$S28-'Kernel profile B64'!$R28)*64</f>
        <v>0</v>
      </c>
      <c r="D21" s="3">
        <f>('Kernel profile B64'!$AC28-'Kernel profile B64'!$AB28)/1000000000</f>
        <v>0</v>
      </c>
      <c r="E21" s="3" t="e">
        <f t="shared" si="4"/>
        <v>#DIV/0!</v>
      </c>
      <c r="F21" s="3" t="e">
        <f t="shared" si="0"/>
        <v>#DIV/0!</v>
      </c>
      <c r="G21" s="3" t="e">
        <f t="shared" si="5"/>
        <v>#DIV/0!</v>
      </c>
      <c r="H21" s="3">
        <f>Graph!$B$5*(SUM('Kernel profile B32'!$V28:$W28,'Kernel profile B32'!$Y28)+2*'Kernel profile B32'!$X28)+'Kernel profile B32'!$Z28*Graph!$E$8</f>
        <v>0</v>
      </c>
      <c r="I21" s="3">
        <f>'Kernel profile B32'!$R28*32+('Kernel profile B32'!$S28-'Kernel profile B32'!$R28)*64</f>
        <v>0</v>
      </c>
      <c r="J21" s="3">
        <f>('Kernel profile B32'!$AC28-'Kernel profile B32'!$AB28)/1000000000</f>
        <v>0</v>
      </c>
      <c r="K21" s="3" t="e">
        <f t="shared" si="6"/>
        <v>#DIV/0!</v>
      </c>
      <c r="L21" s="3" t="e">
        <f t="shared" si="7"/>
        <v>#DIV/0!</v>
      </c>
      <c r="M21" s="3" t="e">
        <f t="shared" si="8"/>
        <v>#DIV/0!</v>
      </c>
    </row>
    <row r="22" spans="2:13" x14ac:dyDescent="0.25">
      <c r="B22" s="3">
        <f>Graph!$B$5*(SUM('Kernel profile B64'!$V29:$W29,'Kernel profile B64'!$Y29)+2*'Kernel profile B64'!$X29)+'Kernel profile B64'!$Z29*Graph!$D$8</f>
        <v>0</v>
      </c>
      <c r="C22" s="3">
        <f>'Kernel profile B64'!$R29*32+('Kernel profile B64'!$S29-'Kernel profile B64'!$R29)*64</f>
        <v>0</v>
      </c>
      <c r="D22" s="3">
        <f>('Kernel profile B64'!$AC29-'Kernel profile B64'!$AB29)/1000000000</f>
        <v>0</v>
      </c>
      <c r="E22" s="3" t="e">
        <f t="shared" si="4"/>
        <v>#DIV/0!</v>
      </c>
      <c r="F22" s="3" t="e">
        <f t="shared" si="0"/>
        <v>#DIV/0!</v>
      </c>
      <c r="G22" s="3" t="e">
        <f t="shared" si="5"/>
        <v>#DIV/0!</v>
      </c>
      <c r="H22" s="3">
        <f>Graph!$B$5*(SUM('Kernel profile B32'!$V29:$W29,'Kernel profile B32'!$Y29)+2*'Kernel profile B32'!$X29)+'Kernel profile B32'!$Z29*Graph!$E$8</f>
        <v>0</v>
      </c>
      <c r="I22" s="3">
        <f>'Kernel profile B32'!$R29*32+('Kernel profile B32'!$S29-'Kernel profile B32'!$R29)*64</f>
        <v>0</v>
      </c>
      <c r="J22" s="3">
        <f>('Kernel profile B32'!$AC29-'Kernel profile B32'!$AB29)/1000000000</f>
        <v>0</v>
      </c>
      <c r="K22" s="3" t="e">
        <f t="shared" si="6"/>
        <v>#DIV/0!</v>
      </c>
      <c r="L22" s="3" t="e">
        <f t="shared" si="7"/>
        <v>#DIV/0!</v>
      </c>
      <c r="M22" s="3" t="e">
        <f t="shared" si="8"/>
        <v>#DIV/0!</v>
      </c>
    </row>
    <row r="23" spans="2:13" x14ac:dyDescent="0.25">
      <c r="B23" s="3">
        <f>Graph!$B$5*(SUM('Kernel profile B64'!$V30:$W30,'Kernel profile B64'!$Y30)+2*'Kernel profile B64'!$X30)+'Kernel profile B64'!$Z30*Graph!$D$8</f>
        <v>0</v>
      </c>
      <c r="C23" s="3">
        <f>'Kernel profile B64'!$R30*32+('Kernel profile B64'!$S30-'Kernel profile B64'!$R30)*64</f>
        <v>0</v>
      </c>
      <c r="D23" s="3">
        <f>('Kernel profile B64'!$AC30-'Kernel profile B64'!$AB30)/1000000000</f>
        <v>0</v>
      </c>
      <c r="E23" s="3" t="e">
        <f t="shared" si="4"/>
        <v>#DIV/0!</v>
      </c>
      <c r="F23" s="3" t="e">
        <f t="shared" si="0"/>
        <v>#DIV/0!</v>
      </c>
      <c r="G23" s="3" t="e">
        <f t="shared" si="5"/>
        <v>#DIV/0!</v>
      </c>
      <c r="H23" s="3">
        <f>Graph!$B$5*(SUM('Kernel profile B32'!$V30:$W30,'Kernel profile B32'!$Y30)+2*'Kernel profile B32'!$X30)+'Kernel profile B32'!$Z30*Graph!$E$8</f>
        <v>0</v>
      </c>
      <c r="I23" s="3">
        <f>'Kernel profile B32'!$R30*32+('Kernel profile B32'!$S30-'Kernel profile B32'!$R30)*64</f>
        <v>0</v>
      </c>
      <c r="J23" s="3">
        <f>('Kernel profile B32'!$AC30-'Kernel profile B32'!$AB30)/1000000000</f>
        <v>0</v>
      </c>
      <c r="K23" s="3" t="e">
        <f t="shared" si="6"/>
        <v>#DIV/0!</v>
      </c>
      <c r="L23" s="3" t="e">
        <f t="shared" si="7"/>
        <v>#DIV/0!</v>
      </c>
      <c r="M23" s="3" t="e">
        <f t="shared" si="8"/>
        <v>#DIV/0!</v>
      </c>
    </row>
    <row r="24" spans="2:13" x14ac:dyDescent="0.25">
      <c r="B24" s="3">
        <f>Graph!$B$5*(SUM('Kernel profile B64'!$V31:$W31,'Kernel profile B64'!$Y31)+2*'Kernel profile B64'!$X31)+'Kernel profile B64'!$Z31*Graph!$D$8</f>
        <v>0</v>
      </c>
      <c r="C24" s="3">
        <f>'Kernel profile B64'!$R31*32+('Kernel profile B64'!$S31-'Kernel profile B64'!$R31)*64</f>
        <v>0</v>
      </c>
      <c r="D24" s="3">
        <f>('Kernel profile B64'!$AC31-'Kernel profile B64'!$AB31)/1000000000</f>
        <v>0</v>
      </c>
      <c r="E24" s="3" t="e">
        <f t="shared" si="4"/>
        <v>#DIV/0!</v>
      </c>
      <c r="F24" s="3" t="e">
        <f t="shared" si="0"/>
        <v>#DIV/0!</v>
      </c>
      <c r="G24" s="3" t="e">
        <f t="shared" si="5"/>
        <v>#DIV/0!</v>
      </c>
      <c r="H24" s="3">
        <f>Graph!$B$5*(SUM('Kernel profile B32'!$V31:$W31,'Kernel profile B32'!$Y31)+2*'Kernel profile B32'!$X31)+'Kernel profile B32'!$Z31*Graph!$E$8</f>
        <v>0</v>
      </c>
      <c r="I24" s="3">
        <f>'Kernel profile B32'!$R31*32+('Kernel profile B32'!$S31-'Kernel profile B32'!$R31)*64</f>
        <v>0</v>
      </c>
      <c r="J24" s="3">
        <f>('Kernel profile B32'!$AC31-'Kernel profile B32'!$AB31)/1000000000</f>
        <v>0</v>
      </c>
      <c r="K24" s="3" t="e">
        <f t="shared" si="6"/>
        <v>#DIV/0!</v>
      </c>
      <c r="L24" s="3" t="e">
        <f t="shared" si="7"/>
        <v>#DIV/0!</v>
      </c>
      <c r="M24" s="3" t="e">
        <f t="shared" si="8"/>
        <v>#DIV/0!</v>
      </c>
    </row>
    <row r="25" spans="2:13" x14ac:dyDescent="0.25">
      <c r="B25" s="3">
        <f>Graph!$B$5*(SUM('Kernel profile B64'!$V32:$W32,'Kernel profile B64'!$Y32)+2*'Kernel profile B64'!$X32)+'Kernel profile B64'!$Z32*Graph!$D$8</f>
        <v>0</v>
      </c>
      <c r="C25" s="3">
        <f>'Kernel profile B64'!$R32*32+('Kernel profile B64'!$S32-'Kernel profile B64'!$R32)*64</f>
        <v>0</v>
      </c>
      <c r="D25" s="3">
        <f>('Kernel profile B64'!$AC32-'Kernel profile B64'!$AB32)/1000000000</f>
        <v>0</v>
      </c>
      <c r="E25" s="3" t="e">
        <f t="shared" si="4"/>
        <v>#DIV/0!</v>
      </c>
      <c r="F25" s="3" t="e">
        <f t="shared" si="0"/>
        <v>#DIV/0!</v>
      </c>
      <c r="G25" s="3" t="e">
        <f t="shared" si="5"/>
        <v>#DIV/0!</v>
      </c>
      <c r="H25" s="3">
        <f>Graph!$B$5*(SUM('Kernel profile B32'!$V32:$W32,'Kernel profile B32'!$Y32)+2*'Kernel profile B32'!$X32)+'Kernel profile B32'!$Z32*Graph!$E$8</f>
        <v>0</v>
      </c>
      <c r="I25" s="3">
        <f>'Kernel profile B32'!$R32*32+('Kernel profile B32'!$S32-'Kernel profile B32'!$R32)*64</f>
        <v>0</v>
      </c>
      <c r="J25" s="3">
        <f>('Kernel profile B32'!$AC32-'Kernel profile B32'!$AB32)/1000000000</f>
        <v>0</v>
      </c>
      <c r="K25" s="3" t="e">
        <f t="shared" si="6"/>
        <v>#DIV/0!</v>
      </c>
      <c r="L25" s="3" t="e">
        <f t="shared" si="7"/>
        <v>#DIV/0!</v>
      </c>
      <c r="M25" s="3" t="e">
        <f t="shared" si="8"/>
        <v>#DIV/0!</v>
      </c>
    </row>
    <row r="26" spans="2:13" x14ac:dyDescent="0.25">
      <c r="B26" s="3">
        <f>Graph!$B$5*(SUM('Kernel profile B64'!$V33:$W33,'Kernel profile B64'!$Y33)+2*'Kernel profile B64'!$X33)+'Kernel profile B64'!$Z33*Graph!$D$8</f>
        <v>0</v>
      </c>
      <c r="C26" s="3">
        <f>'Kernel profile B64'!$R33*32+('Kernel profile B64'!$S33-'Kernel profile B64'!$R33)*64</f>
        <v>0</v>
      </c>
      <c r="D26" s="3">
        <f>('Kernel profile B64'!$AC33-'Kernel profile B64'!$AB33)/1000000000</f>
        <v>0</v>
      </c>
      <c r="E26" s="3" t="e">
        <f t="shared" si="4"/>
        <v>#DIV/0!</v>
      </c>
      <c r="F26" s="3" t="e">
        <f t="shared" si="0"/>
        <v>#DIV/0!</v>
      </c>
      <c r="G26" s="3" t="e">
        <f t="shared" si="5"/>
        <v>#DIV/0!</v>
      </c>
      <c r="H26" s="3">
        <f>Graph!$B$5*(SUM('Kernel profile B32'!$V33:$W33,'Kernel profile B32'!$Y33)+2*'Kernel profile B32'!$X33)+'Kernel profile B32'!$Z33*Graph!$E$8</f>
        <v>0</v>
      </c>
      <c r="I26" s="3">
        <f>'Kernel profile B32'!$R33*32+('Kernel profile B32'!$S33-'Kernel profile B32'!$R33)*64</f>
        <v>0</v>
      </c>
      <c r="J26" s="3">
        <f>('Kernel profile B32'!$AC33-'Kernel profile B32'!$AB33)/1000000000</f>
        <v>0</v>
      </c>
      <c r="K26" s="3" t="e">
        <f t="shared" si="6"/>
        <v>#DIV/0!</v>
      </c>
      <c r="L26" s="3" t="e">
        <f t="shared" si="7"/>
        <v>#DIV/0!</v>
      </c>
      <c r="M26" s="3" t="e">
        <f t="shared" si="8"/>
        <v>#DIV/0!</v>
      </c>
    </row>
    <row r="27" spans="2:13" x14ac:dyDescent="0.25">
      <c r="B27" s="3">
        <f>Graph!$B$5*(SUM('Kernel profile B64'!$V34:$W34,'Kernel profile B64'!$Y34)+2*'Kernel profile B64'!$X34)+'Kernel profile B64'!$Z34*Graph!$D$8</f>
        <v>0</v>
      </c>
      <c r="C27" s="3">
        <f>'Kernel profile B64'!$R34*32+('Kernel profile B64'!$S34-'Kernel profile B64'!$R34)*64</f>
        <v>0</v>
      </c>
      <c r="D27" s="3">
        <f>('Kernel profile B64'!$AC34-'Kernel profile B64'!$AB34)/1000000000</f>
        <v>0</v>
      </c>
      <c r="E27" s="3" t="e">
        <f t="shared" si="4"/>
        <v>#DIV/0!</v>
      </c>
      <c r="F27" s="3" t="e">
        <f t="shared" si="0"/>
        <v>#DIV/0!</v>
      </c>
      <c r="G27" s="3" t="e">
        <f t="shared" si="5"/>
        <v>#DIV/0!</v>
      </c>
      <c r="H27" s="3">
        <f>Graph!$B$5*(SUM('Kernel profile B32'!$V34:$W34,'Kernel profile B32'!$Y34)+2*'Kernel profile B32'!$X34)+'Kernel profile B32'!$Z34*Graph!$E$8</f>
        <v>0</v>
      </c>
      <c r="I27" s="3">
        <f>'Kernel profile B32'!$R34*32+('Kernel profile B32'!$S34-'Kernel profile B32'!$R34)*64</f>
        <v>0</v>
      </c>
      <c r="J27" s="3">
        <f>('Kernel profile B32'!$AC34-'Kernel profile B32'!$AB34)/1000000000</f>
        <v>0</v>
      </c>
      <c r="K27" s="3" t="e">
        <f t="shared" si="6"/>
        <v>#DIV/0!</v>
      </c>
      <c r="L27" s="3" t="e">
        <f t="shared" si="7"/>
        <v>#DIV/0!</v>
      </c>
      <c r="M27" s="3" t="e">
        <f t="shared" si="8"/>
        <v>#DIV/0!</v>
      </c>
    </row>
    <row r="28" spans="2:13" x14ac:dyDescent="0.25">
      <c r="B28" s="3">
        <f>Graph!$B$5*(SUM('Kernel profile B64'!$V35:$W35,'Kernel profile B64'!$Y35)+2*'Kernel profile B64'!$X35)+'Kernel profile B64'!$Z35*Graph!$D$8</f>
        <v>0</v>
      </c>
      <c r="C28" s="3">
        <f>'Kernel profile B64'!$R35*32+('Kernel profile B64'!$S35-'Kernel profile B64'!$R35)*64</f>
        <v>0</v>
      </c>
      <c r="D28" s="3">
        <f>('Kernel profile B64'!$AC35-'Kernel profile B64'!$AB35)/1000000000</f>
        <v>0</v>
      </c>
      <c r="E28" s="3" t="e">
        <f t="shared" si="4"/>
        <v>#DIV/0!</v>
      </c>
      <c r="F28" s="3" t="e">
        <f t="shared" si="0"/>
        <v>#DIV/0!</v>
      </c>
      <c r="G28" s="3" t="e">
        <f t="shared" si="5"/>
        <v>#DIV/0!</v>
      </c>
      <c r="H28" s="3">
        <f>Graph!$B$5*(SUM('Kernel profile B32'!$V35:$W35,'Kernel profile B32'!$Y35)+2*'Kernel profile B32'!$X35)+'Kernel profile B32'!$Z35*Graph!$E$8</f>
        <v>0</v>
      </c>
      <c r="I28" s="3">
        <f>'Kernel profile B32'!$R35*32+('Kernel profile B32'!$S35-'Kernel profile B32'!$R35)*64</f>
        <v>0</v>
      </c>
      <c r="J28" s="3">
        <f>('Kernel profile B32'!$AC35-'Kernel profile B32'!$AB35)/1000000000</f>
        <v>0</v>
      </c>
      <c r="K28" s="3" t="e">
        <f t="shared" si="6"/>
        <v>#DIV/0!</v>
      </c>
      <c r="L28" s="3" t="e">
        <f t="shared" si="7"/>
        <v>#DIV/0!</v>
      </c>
      <c r="M28" s="3" t="e">
        <f t="shared" si="8"/>
        <v>#DIV/0!</v>
      </c>
    </row>
    <row r="29" spans="2:13" x14ac:dyDescent="0.25">
      <c r="B29" s="3">
        <f>Graph!$B$5*(SUM('Kernel profile B64'!$V36:$W36,'Kernel profile B64'!$Y36)+2*'Kernel profile B64'!$X36)+'Kernel profile B64'!$Z36*Graph!$D$8</f>
        <v>0</v>
      </c>
      <c r="C29" s="3">
        <f>'Kernel profile B64'!$R36*32+('Kernel profile B64'!$S36-'Kernel profile B64'!$R36)*64</f>
        <v>0</v>
      </c>
      <c r="D29" s="3">
        <f>('Kernel profile B64'!$AC36-'Kernel profile B64'!$AB36)/1000000000</f>
        <v>0</v>
      </c>
      <c r="E29" s="3" t="e">
        <f t="shared" si="4"/>
        <v>#DIV/0!</v>
      </c>
      <c r="F29" s="3" t="e">
        <f t="shared" si="0"/>
        <v>#DIV/0!</v>
      </c>
      <c r="G29" s="3" t="e">
        <f t="shared" si="5"/>
        <v>#DIV/0!</v>
      </c>
      <c r="H29" s="3">
        <f>Graph!$B$5*(SUM('Kernel profile B32'!$V36:$W36,'Kernel profile B32'!$Y36)+2*'Kernel profile B32'!$X36)+'Kernel profile B32'!$Z36*Graph!$E$8</f>
        <v>0</v>
      </c>
      <c r="I29" s="3">
        <f>'Kernel profile B32'!$R36*32+('Kernel profile B32'!$S36-'Kernel profile B32'!$R36)*64</f>
        <v>0</v>
      </c>
      <c r="J29" s="3">
        <f>('Kernel profile B32'!$AC36-'Kernel profile B32'!$AB36)/1000000000</f>
        <v>0</v>
      </c>
      <c r="K29" s="3" t="e">
        <f t="shared" si="6"/>
        <v>#DIV/0!</v>
      </c>
      <c r="L29" s="3" t="e">
        <f t="shared" si="7"/>
        <v>#DIV/0!</v>
      </c>
      <c r="M29" s="3" t="e">
        <f t="shared" si="8"/>
        <v>#DIV/0!</v>
      </c>
    </row>
    <row r="30" spans="2:13" x14ac:dyDescent="0.25">
      <c r="B30" s="3">
        <f>Graph!$B$5*(SUM('Kernel profile B64'!$V37:$W37,'Kernel profile B64'!$Y37)+2*'Kernel profile B64'!$X37)+'Kernel profile B64'!$Z37*Graph!$D$8</f>
        <v>0</v>
      </c>
      <c r="C30" s="3">
        <f>'Kernel profile B64'!$R37*32+('Kernel profile B64'!$S37-'Kernel profile B64'!$R37)*64</f>
        <v>0</v>
      </c>
      <c r="D30" s="3">
        <f>('Kernel profile B64'!$AC37-'Kernel profile B64'!$AB37)/1000000000</f>
        <v>0</v>
      </c>
      <c r="E30" s="3" t="e">
        <f t="shared" si="4"/>
        <v>#DIV/0!</v>
      </c>
      <c r="F30" s="3" t="e">
        <f t="shared" si="0"/>
        <v>#DIV/0!</v>
      </c>
      <c r="G30" s="3" t="e">
        <f t="shared" si="5"/>
        <v>#DIV/0!</v>
      </c>
      <c r="H30" s="3">
        <f>Graph!$B$5*(SUM('Kernel profile B32'!$V37:$W37,'Kernel profile B32'!$Y37)+2*'Kernel profile B32'!$X37)+'Kernel profile B32'!$Z37*Graph!$E$8</f>
        <v>0</v>
      </c>
      <c r="I30" s="3">
        <f>'Kernel profile B32'!$R37*32+('Kernel profile B32'!$S37-'Kernel profile B32'!$R37)*64</f>
        <v>0</v>
      </c>
      <c r="J30" s="3">
        <f>('Kernel profile B32'!$AC37-'Kernel profile B32'!$AB37)/1000000000</f>
        <v>0</v>
      </c>
      <c r="K30" s="3" t="e">
        <f t="shared" si="6"/>
        <v>#DIV/0!</v>
      </c>
      <c r="L30" s="3" t="e">
        <f t="shared" si="7"/>
        <v>#DIV/0!</v>
      </c>
      <c r="M30" s="3" t="e">
        <f t="shared" si="8"/>
        <v>#DIV/0!</v>
      </c>
    </row>
    <row r="31" spans="2:13" x14ac:dyDescent="0.25">
      <c r="B31" s="3">
        <f>Graph!$B$5*(SUM('Kernel profile B64'!$V38:$W38,'Kernel profile B64'!$Y38)+2*'Kernel profile B64'!$X38)+'Kernel profile B64'!$Z38*Graph!$D$8</f>
        <v>0</v>
      </c>
      <c r="C31" s="3">
        <f>'Kernel profile B64'!$R38*32+('Kernel profile B64'!$S38-'Kernel profile B64'!$R38)*64</f>
        <v>0</v>
      </c>
      <c r="D31" s="3">
        <f>('Kernel profile B64'!$AC38-'Kernel profile B64'!$AB38)/1000000000</f>
        <v>0</v>
      </c>
      <c r="E31" s="3" t="e">
        <f t="shared" si="4"/>
        <v>#DIV/0!</v>
      </c>
      <c r="F31" s="3" t="e">
        <f t="shared" si="0"/>
        <v>#DIV/0!</v>
      </c>
      <c r="G31" s="3" t="e">
        <f t="shared" si="5"/>
        <v>#DIV/0!</v>
      </c>
      <c r="H31" s="3">
        <f>Graph!$B$5*(SUM('Kernel profile B32'!$V38:$W38,'Kernel profile B32'!$Y38)+2*'Kernel profile B32'!$X38)+'Kernel profile B32'!$Z38*Graph!$E$8</f>
        <v>0</v>
      </c>
      <c r="I31" s="3">
        <f>'Kernel profile B32'!$R38*32+('Kernel profile B32'!$S38-'Kernel profile B32'!$R38)*64</f>
        <v>0</v>
      </c>
      <c r="J31" s="3">
        <f>('Kernel profile B32'!$AC38-'Kernel profile B32'!$AB38)/1000000000</f>
        <v>0</v>
      </c>
      <c r="K31" s="3" t="e">
        <f t="shared" si="6"/>
        <v>#DIV/0!</v>
      </c>
      <c r="L31" s="3" t="e">
        <f t="shared" si="7"/>
        <v>#DIV/0!</v>
      </c>
      <c r="M31" s="3" t="e">
        <f t="shared" si="8"/>
        <v>#DIV/0!</v>
      </c>
    </row>
    <row r="32" spans="2:13" x14ac:dyDescent="0.25">
      <c r="B32" s="3">
        <f>Graph!$B$5*(SUM('Kernel profile B64'!$V39:$W39,'Kernel profile B64'!$Y39)+2*'Kernel profile B64'!$X39)+'Kernel profile B64'!$Z39*Graph!$D$8</f>
        <v>0</v>
      </c>
      <c r="C32" s="3">
        <f>'Kernel profile B64'!$R39*32+('Kernel profile B64'!$S39-'Kernel profile B64'!$R39)*64</f>
        <v>0</v>
      </c>
      <c r="D32" s="3">
        <f>('Kernel profile B64'!$AC39-'Kernel profile B64'!$AB39)/1000000000</f>
        <v>0</v>
      </c>
      <c r="E32" s="3" t="e">
        <f t="shared" si="4"/>
        <v>#DIV/0!</v>
      </c>
      <c r="F32" s="3" t="e">
        <f t="shared" si="0"/>
        <v>#DIV/0!</v>
      </c>
      <c r="G32" s="3" t="e">
        <f t="shared" si="5"/>
        <v>#DIV/0!</v>
      </c>
      <c r="H32" s="3">
        <f>Graph!$B$5*(SUM('Kernel profile B32'!$V39:$W39,'Kernel profile B32'!$Y39)+2*'Kernel profile B32'!$X39)+'Kernel profile B32'!$Z39*Graph!$E$8</f>
        <v>0</v>
      </c>
      <c r="I32" s="3">
        <f>'Kernel profile B32'!$R39*32+('Kernel profile B32'!$S39-'Kernel profile B32'!$R39)*64</f>
        <v>0</v>
      </c>
      <c r="J32" s="3">
        <f>('Kernel profile B32'!$AC39-'Kernel profile B32'!$AB39)/1000000000</f>
        <v>0</v>
      </c>
      <c r="K32" s="3" t="e">
        <f t="shared" si="6"/>
        <v>#DIV/0!</v>
      </c>
      <c r="L32" s="3" t="e">
        <f t="shared" si="7"/>
        <v>#DIV/0!</v>
      </c>
      <c r="M32" s="3" t="e">
        <f t="shared" si="8"/>
        <v>#DIV/0!</v>
      </c>
    </row>
    <row r="33" spans="2:13" x14ac:dyDescent="0.25">
      <c r="B33" s="3">
        <f>Graph!$B$5*(SUM('Kernel profile B64'!$V40:$W40,'Kernel profile B64'!$Y40)+2*'Kernel profile B64'!$X40)+'Kernel profile B64'!$Z40*Graph!$D$8</f>
        <v>0</v>
      </c>
      <c r="C33" s="3">
        <f>'Kernel profile B64'!$R40*32+('Kernel profile B64'!$S40-'Kernel profile B64'!$R40)*64</f>
        <v>0</v>
      </c>
      <c r="D33" s="3">
        <f>('Kernel profile B64'!$AC40-'Kernel profile B64'!$AB40)/1000000000</f>
        <v>0</v>
      </c>
      <c r="E33" s="3" t="e">
        <f t="shared" si="4"/>
        <v>#DIV/0!</v>
      </c>
      <c r="F33" s="3" t="e">
        <f t="shared" si="0"/>
        <v>#DIV/0!</v>
      </c>
      <c r="G33" s="3" t="e">
        <f t="shared" si="5"/>
        <v>#DIV/0!</v>
      </c>
      <c r="H33" s="3">
        <f>Graph!$B$5*(SUM('Kernel profile B32'!$V40:$W40,'Kernel profile B32'!$Y40)+2*'Kernel profile B32'!$X40)+'Kernel profile B32'!$Z40*Graph!$E$8</f>
        <v>0</v>
      </c>
      <c r="I33" s="3">
        <f>'Kernel profile B32'!$R40*32+('Kernel profile B32'!$S40-'Kernel profile B32'!$R40)*64</f>
        <v>0</v>
      </c>
      <c r="J33" s="3">
        <f>('Kernel profile B32'!$AC40-'Kernel profile B32'!$AB40)/1000000000</f>
        <v>0</v>
      </c>
      <c r="K33" s="3" t="e">
        <f t="shared" si="6"/>
        <v>#DIV/0!</v>
      </c>
      <c r="L33" s="3" t="e">
        <f t="shared" si="7"/>
        <v>#DIV/0!</v>
      </c>
      <c r="M33" s="3" t="e">
        <f t="shared" si="8"/>
        <v>#DIV/0!</v>
      </c>
    </row>
    <row r="34" spans="2:13" x14ac:dyDescent="0.25">
      <c r="B34" s="3">
        <f>Graph!$B$5*(SUM('Kernel profile B64'!$V41:$W41,'Kernel profile B64'!$Y41)+2*'Kernel profile B64'!$X41)+'Kernel profile B64'!$Z41*Graph!$D$8</f>
        <v>0</v>
      </c>
      <c r="C34" s="3">
        <f>'Kernel profile B64'!$R41*32+('Kernel profile B64'!$S41-'Kernel profile B64'!$R41)*64</f>
        <v>0</v>
      </c>
      <c r="D34" s="3">
        <f>('Kernel profile B64'!$AC41-'Kernel profile B64'!$AB41)/1000000000</f>
        <v>0</v>
      </c>
      <c r="E34" s="3" t="e">
        <f t="shared" si="4"/>
        <v>#DIV/0!</v>
      </c>
      <c r="F34" s="3" t="e">
        <f t="shared" si="0"/>
        <v>#DIV/0!</v>
      </c>
      <c r="G34" s="3" t="e">
        <f t="shared" si="5"/>
        <v>#DIV/0!</v>
      </c>
      <c r="H34" s="3">
        <f>Graph!$B$5*(SUM('Kernel profile B32'!$V41:$W41,'Kernel profile B32'!$Y41)+2*'Kernel profile B32'!$X41)+'Kernel profile B32'!$Z41*Graph!$E$8</f>
        <v>0</v>
      </c>
      <c r="I34" s="3">
        <f>'Kernel profile B32'!$R41*32+('Kernel profile B32'!$S41-'Kernel profile B32'!$R41)*64</f>
        <v>0</v>
      </c>
      <c r="J34" s="3">
        <f>('Kernel profile B32'!$AC41-'Kernel profile B32'!$AB41)/1000000000</f>
        <v>0</v>
      </c>
      <c r="K34" s="3" t="e">
        <f t="shared" si="6"/>
        <v>#DIV/0!</v>
      </c>
      <c r="L34" s="3" t="e">
        <f t="shared" si="7"/>
        <v>#DIV/0!</v>
      </c>
      <c r="M34" s="3" t="e">
        <f t="shared" si="8"/>
        <v>#DIV/0!</v>
      </c>
    </row>
    <row r="35" spans="2:13" x14ac:dyDescent="0.25">
      <c r="B35" s="3">
        <f>Graph!$B$5*(SUM('Kernel profile B64'!$V42:$W42,'Kernel profile B64'!$Y42)+2*'Kernel profile B64'!$X42)+'Kernel profile B64'!$Z42*Graph!$D$8</f>
        <v>0</v>
      </c>
      <c r="C35" s="3">
        <f>'Kernel profile B64'!$R42*32+('Kernel profile B64'!$S42-'Kernel profile B64'!$R42)*64</f>
        <v>0</v>
      </c>
      <c r="D35" s="3">
        <f>('Kernel profile B64'!$AC42-'Kernel profile B64'!$AB42)/1000000000</f>
        <v>0</v>
      </c>
      <c r="E35" s="3" t="e">
        <f t="shared" si="4"/>
        <v>#DIV/0!</v>
      </c>
      <c r="F35" s="3" t="e">
        <f t="shared" si="0"/>
        <v>#DIV/0!</v>
      </c>
      <c r="G35" s="3" t="e">
        <f t="shared" si="5"/>
        <v>#DIV/0!</v>
      </c>
      <c r="H35" s="3">
        <f>Graph!$B$5*(SUM('Kernel profile B32'!$V42:$W42,'Kernel profile B32'!$Y42)+2*'Kernel profile B32'!$X42)+'Kernel profile B32'!$Z42*Graph!$E$8</f>
        <v>0</v>
      </c>
      <c r="I35" s="3">
        <f>'Kernel profile B32'!$R42*32+('Kernel profile B32'!$S42-'Kernel profile B32'!$R42)*64</f>
        <v>0</v>
      </c>
      <c r="J35" s="3">
        <f>('Kernel profile B32'!$AC42-'Kernel profile B32'!$AB42)/1000000000</f>
        <v>0</v>
      </c>
      <c r="K35" s="3" t="e">
        <f t="shared" si="6"/>
        <v>#DIV/0!</v>
      </c>
      <c r="L35" s="3" t="e">
        <f t="shared" si="7"/>
        <v>#DIV/0!</v>
      </c>
      <c r="M35" s="3" t="e">
        <f t="shared" si="8"/>
        <v>#DIV/0!</v>
      </c>
    </row>
  </sheetData>
  <mergeCells count="2">
    <mergeCell ref="B1:G1"/>
    <mergeCell ref="H1:M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zoomScale="90" zoomScaleNormal="90" workbookViewId="0">
      <selection activeCell="R17" sqref="R17"/>
    </sheetView>
  </sheetViews>
  <sheetFormatPr baseColWidth="10" defaultRowHeight="15" x14ac:dyDescent="0.25"/>
  <cols>
    <col min="1" max="1" width="6.140625" bestFit="1" customWidth="1"/>
    <col min="2" max="2" width="255.7109375" bestFit="1" customWidth="1"/>
    <col min="3" max="3" width="7" bestFit="1" customWidth="1"/>
    <col min="4" max="4" width="9.5703125" bestFit="1" customWidth="1"/>
    <col min="5" max="5" width="12.7109375" bestFit="1" customWidth="1"/>
    <col min="6" max="7" width="8.140625" bestFit="1" customWidth="1"/>
    <col min="8" max="8" width="7.140625" bestFit="1" customWidth="1"/>
    <col min="9" max="9" width="5.140625" bestFit="1" customWidth="1"/>
    <col min="10" max="10" width="4" bestFit="1" customWidth="1"/>
    <col min="11" max="11" width="3.7109375" bestFit="1" customWidth="1"/>
    <col min="12" max="12" width="9.7109375" bestFit="1" customWidth="1"/>
    <col min="13" max="13" width="11.5703125" bestFit="1" customWidth="1"/>
    <col min="14" max="14" width="5" bestFit="1" customWidth="1"/>
    <col min="15" max="15" width="10.5703125" bestFit="1" customWidth="1"/>
    <col min="16" max="16" width="4" bestFit="1" customWidth="1"/>
    <col min="17" max="17" width="15.28515625" bestFit="1" customWidth="1"/>
    <col min="18" max="18" width="23.85546875" bestFit="1" customWidth="1"/>
    <col min="19" max="19" width="21" bestFit="1" customWidth="1"/>
    <col min="20" max="20" width="20" bestFit="1" customWidth="1"/>
    <col min="21" max="21" width="24.28515625" customWidth="1"/>
    <col min="22" max="23" width="24.28515625" bestFit="1" customWidth="1"/>
    <col min="24" max="24" width="24.42578125" bestFit="1" customWidth="1"/>
    <col min="25" max="25" width="26.42578125" bestFit="1" customWidth="1"/>
    <col min="26" max="26" width="32.7109375" bestFit="1" customWidth="1"/>
    <col min="27" max="30" width="12.28515625" bestFit="1" customWidth="1"/>
    <col min="31" max="31" width="24.28515625" bestFit="1" customWidth="1"/>
    <col min="32" max="32" width="24.42578125" bestFit="1" customWidth="1"/>
    <col min="33" max="33" width="26.42578125" bestFit="1" customWidth="1"/>
    <col min="34" max="34" width="32.7109375" bestFit="1" customWidth="1"/>
    <col min="35" max="35" width="33.85546875" bestFit="1" customWidth="1"/>
    <col min="36" max="37" width="32.7109375" bestFit="1" customWidth="1"/>
    <col min="38" max="41" width="12" bestFit="1" customWidth="1"/>
  </cols>
  <sheetData>
    <row r="1" spans="1:30" ht="15" customHeight="1" x14ac:dyDescent="0.25">
      <c r="B1" s="14" t="s">
        <v>56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30" x14ac:dyDescent="0.2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30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30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30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30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30" x14ac:dyDescent="0.25">
      <c r="B7" s="15" t="s">
        <v>46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5"/>
      <c r="W7" s="5"/>
      <c r="X7" s="5"/>
      <c r="Y7" s="5"/>
      <c r="Z7" s="5"/>
      <c r="AA7" s="5"/>
      <c r="AB7" s="5"/>
    </row>
    <row r="9" spans="1:30" x14ac:dyDescent="0.25">
      <c r="A9" s="6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35</v>
      </c>
      <c r="W9" t="s">
        <v>36</v>
      </c>
      <c r="X9" t="s">
        <v>37</v>
      </c>
      <c r="Y9" t="s">
        <v>38</v>
      </c>
      <c r="Z9" t="s">
        <v>40</v>
      </c>
      <c r="AA9" t="s">
        <v>41</v>
      </c>
      <c r="AB9" t="s">
        <v>42</v>
      </c>
      <c r="AC9" t="s">
        <v>43</v>
      </c>
      <c r="AD9" t="s">
        <v>44</v>
      </c>
    </row>
    <row r="10" spans="1:30" x14ac:dyDescent="0.25">
      <c r="A10">
        <v>0</v>
      </c>
      <c r="B10" t="s">
        <v>59</v>
      </c>
      <c r="C10">
        <v>0</v>
      </c>
      <c r="D10">
        <v>0</v>
      </c>
      <c r="E10">
        <v>0</v>
      </c>
      <c r="F10">
        <v>2857959</v>
      </c>
      <c r="G10">
        <v>2857959</v>
      </c>
      <c r="H10">
        <v>4161540352</v>
      </c>
      <c r="I10">
        <v>256</v>
      </c>
      <c r="J10">
        <v>0</v>
      </c>
      <c r="K10">
        <v>0</v>
      </c>
      <c r="L10">
        <v>24</v>
      </c>
      <c r="M10">
        <v>0</v>
      </c>
      <c r="N10">
        <v>32</v>
      </c>
      <c r="O10">
        <v>64</v>
      </c>
      <c r="P10" t="s">
        <v>9</v>
      </c>
      <c r="Q10" t="s">
        <v>62</v>
      </c>
      <c r="R10">
        <v>0</v>
      </c>
      <c r="S10">
        <v>520324888</v>
      </c>
      <c r="T10">
        <v>520452308</v>
      </c>
      <c r="U10">
        <v>520360306</v>
      </c>
      <c r="V10">
        <v>195072195</v>
      </c>
      <c r="W10">
        <f>65024065</f>
        <v>65024065</v>
      </c>
      <c r="X10">
        <v>0</v>
      </c>
      <c r="Y10">
        <v>0</v>
      </c>
      <c r="Z10">
        <v>0</v>
      </c>
      <c r="AA10">
        <v>1388123311296990</v>
      </c>
      <c r="AB10">
        <v>1387998439186250</v>
      </c>
      <c r="AC10">
        <f>AB10+61102*1000</f>
        <v>1387998500288250</v>
      </c>
      <c r="AD10">
        <v>1388123386891970</v>
      </c>
    </row>
  </sheetData>
  <mergeCells count="2">
    <mergeCell ref="B1:AB6"/>
    <mergeCell ref="B7:U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zoomScale="90" zoomScaleNormal="90" workbookViewId="0">
      <selection activeCell="Q26" sqref="Q26"/>
    </sheetView>
  </sheetViews>
  <sheetFormatPr baseColWidth="10" defaultRowHeight="15" x14ac:dyDescent="0.25"/>
  <cols>
    <col min="1" max="1" width="6.140625" customWidth="1"/>
    <col min="2" max="2" width="255.7109375" customWidth="1"/>
    <col min="3" max="3" width="7" customWidth="1"/>
    <col min="4" max="4" width="9.5703125" customWidth="1"/>
    <col min="5" max="5" width="12.7109375" customWidth="1"/>
    <col min="6" max="7" width="8.140625" customWidth="1"/>
    <col min="8" max="8" width="7.140625" customWidth="1"/>
    <col min="9" max="9" width="5.140625" customWidth="1"/>
    <col min="10" max="10" width="4" customWidth="1"/>
    <col min="11" max="11" width="3.7109375" customWidth="1"/>
    <col min="12" max="12" width="9.7109375" customWidth="1"/>
    <col min="13" max="13" width="11.5703125" customWidth="1"/>
    <col min="14" max="14" width="5" customWidth="1"/>
    <col min="15" max="15" width="10.5703125" customWidth="1"/>
    <col min="16" max="16" width="4" customWidth="1"/>
    <col min="17" max="17" width="15.7109375" bestFit="1" customWidth="1"/>
    <col min="18" max="18" width="23.85546875" customWidth="1"/>
    <col min="19" max="19" width="21" customWidth="1"/>
    <col min="20" max="20" width="20" customWidth="1"/>
    <col min="21" max="23" width="24.28515625" customWidth="1"/>
    <col min="24" max="24" width="24.42578125" customWidth="1"/>
    <col min="25" max="25" width="26.42578125" customWidth="1"/>
    <col min="26" max="26" width="32.7109375" customWidth="1"/>
    <col min="27" max="27" width="11.5703125" customWidth="1"/>
    <col min="28" max="28" width="12.28515625" customWidth="1"/>
    <col min="29" max="29" width="11.28515625" customWidth="1"/>
    <col min="30" max="30" width="12.28515625" customWidth="1"/>
    <col min="31" max="31" width="24.28515625" bestFit="1" customWidth="1"/>
    <col min="32" max="32" width="24.42578125" bestFit="1" customWidth="1"/>
    <col min="33" max="33" width="26.42578125" bestFit="1" customWidth="1"/>
    <col min="34" max="34" width="32.7109375" bestFit="1" customWidth="1"/>
    <col min="35" max="35" width="33.85546875" bestFit="1" customWidth="1"/>
    <col min="36" max="37" width="32.7109375" bestFit="1" customWidth="1"/>
    <col min="38" max="41" width="12" bestFit="1" customWidth="1"/>
  </cols>
  <sheetData>
    <row r="1" spans="1:30" ht="15" customHeight="1" x14ac:dyDescent="0.25">
      <c r="B1" s="14" t="s">
        <v>57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30" x14ac:dyDescent="0.2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30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30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30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30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30" x14ac:dyDescent="0.25">
      <c r="B7" s="15" t="s">
        <v>46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5"/>
      <c r="W7" s="5"/>
      <c r="X7" s="5"/>
      <c r="Y7" s="5"/>
      <c r="Z7" s="5"/>
      <c r="AA7" s="5"/>
      <c r="AB7" s="5"/>
    </row>
    <row r="9" spans="1:30" x14ac:dyDescent="0.25">
      <c r="A9" s="6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39</v>
      </c>
      <c r="AA9" t="s">
        <v>41</v>
      </c>
      <c r="AB9" t="s">
        <v>42</v>
      </c>
      <c r="AC9" t="s">
        <v>43</v>
      </c>
      <c r="AD9" t="s">
        <v>44</v>
      </c>
    </row>
    <row r="10" spans="1:30" x14ac:dyDescent="0.25">
      <c r="A10">
        <v>7</v>
      </c>
      <c r="B10" t="s">
        <v>60</v>
      </c>
      <c r="C10">
        <v>0</v>
      </c>
      <c r="D10">
        <v>1</v>
      </c>
      <c r="E10">
        <v>5</v>
      </c>
      <c r="F10">
        <v>2857278</v>
      </c>
      <c r="G10">
        <v>2857278</v>
      </c>
      <c r="H10">
        <v>1073741824</v>
      </c>
      <c r="I10">
        <v>1024</v>
      </c>
      <c r="J10">
        <v>0</v>
      </c>
      <c r="K10">
        <v>0</v>
      </c>
      <c r="L10">
        <v>28</v>
      </c>
      <c r="M10">
        <v>4</v>
      </c>
      <c r="N10">
        <v>32</v>
      </c>
      <c r="O10">
        <v>64</v>
      </c>
      <c r="P10" t="s">
        <v>9</v>
      </c>
      <c r="Q10" t="s">
        <v>61</v>
      </c>
      <c r="R10">
        <v>0</v>
      </c>
      <c r="S10">
        <v>8277</v>
      </c>
      <c r="T10">
        <v>0</v>
      </c>
      <c r="U10">
        <v>0</v>
      </c>
      <c r="V10">
        <v>117440512</v>
      </c>
      <c r="W10">
        <v>16777216</v>
      </c>
      <c r="X10">
        <v>68719476736</v>
      </c>
      <c r="Y10">
        <v>16777216</v>
      </c>
      <c r="Z10">
        <v>0</v>
      </c>
      <c r="AA10">
        <v>1387997982815570</v>
      </c>
      <c r="AB10">
        <v>1387997981016920</v>
      </c>
      <c r="AC10">
        <v>1387998439193650</v>
      </c>
      <c r="AD10">
        <v>1387998439299790</v>
      </c>
    </row>
  </sheetData>
  <mergeCells count="2">
    <mergeCell ref="B1:AB6"/>
    <mergeCell ref="B7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Graph</vt:lpstr>
      <vt:lpstr>Process kernel profile data</vt:lpstr>
      <vt:lpstr>Kernel profile B64</vt:lpstr>
      <vt:lpstr>Kernel profile B32</vt:lpstr>
    </vt:vector>
  </TitlesOfParts>
  <Company>CINES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malaboeuf</dc:creator>
  <cp:lastModifiedBy>malaboeuf</cp:lastModifiedBy>
  <dcterms:created xsi:type="dcterms:W3CDTF">2023-03-07T13:21:12Z</dcterms:created>
  <dcterms:modified xsi:type="dcterms:W3CDTF">2023-03-08T13:39:39Z</dcterms:modified>
</cp:coreProperties>
</file>